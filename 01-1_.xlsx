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user\Desktop\Грознов себе\"/>
    </mc:Choice>
  </mc:AlternateContent>
  <xr:revisionPtr revIDLastSave="0" documentId="13_ncr:1_{598E765C-9172-47FD-A42A-6DEBB9395E0E}" xr6:coauthVersionLast="47" xr6:coauthVersionMax="47" xr10:uidLastSave="{00000000-0000-0000-0000-000000000000}"/>
  <bookViews>
    <workbookView xWindow="-120" yWindow="-120" windowWidth="20730" windowHeight="11160" tabRatio="686" xr2:uid="{00000000-000D-0000-FFFF-FFFF00000000}"/>
  </bookViews>
  <sheets>
    <sheet name="Журнал Работ" sheetId="1" r:id="rId1"/>
    <sheet name="Общий Объём работ" sheetId="8" r:id="rId2"/>
    <sheet name="Карткий отчет" sheetId="11" r:id="rId3"/>
  </sheets>
  <definedNames>
    <definedName name="_xlnm._FilterDatabase" localSheetId="0" hidden="1">'Журнал Работ'!$A$1:$H$2365</definedName>
    <definedName name="_xlnm._FilterDatabase" localSheetId="1" hidden="1">'Общий Объём работ'!$A$2:$A$2</definedName>
    <definedName name="_xlnm.Print_Area" localSheetId="1">'Общий Объём работ'!$A$1:$H$178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8" i="8" l="1"/>
  <c r="D178" i="8"/>
  <c r="C177" i="8"/>
  <c r="D177" i="8"/>
  <c r="C176" i="8"/>
  <c r="D176" i="8"/>
  <c r="C175" i="8"/>
  <c r="D175" i="8"/>
  <c r="C173" i="8"/>
  <c r="C174" i="8"/>
  <c r="D173" i="8"/>
  <c r="D174" i="8"/>
  <c r="C171" i="8"/>
  <c r="F171" i="8" s="1"/>
  <c r="C172" i="8"/>
  <c r="F172" i="8" s="1"/>
  <c r="D171" i="8"/>
  <c r="G171" i="8" s="1"/>
  <c r="D172" i="8"/>
  <c r="G172" i="8" s="1"/>
  <c r="C170" i="8"/>
  <c r="F170" i="8" s="1"/>
  <c r="D170" i="8"/>
  <c r="G170" i="8" s="1"/>
  <c r="C169" i="8"/>
  <c r="F169" i="8" s="1"/>
  <c r="D169" i="8"/>
  <c r="G169" i="8" s="1"/>
  <c r="C168" i="8"/>
  <c r="F168" i="8" s="1"/>
  <c r="D168" i="8"/>
  <c r="G168" i="8" s="1"/>
  <c r="C16" i="11"/>
  <c r="C8" i="11"/>
  <c r="C42" i="8"/>
  <c r="D42" i="8"/>
  <c r="D54" i="8"/>
  <c r="G54" i="8" s="1"/>
  <c r="C54" i="8"/>
  <c r="F54" i="8" s="1"/>
  <c r="C167" i="8"/>
  <c r="D167" i="8"/>
  <c r="C140" i="8"/>
  <c r="D140" i="8"/>
  <c r="C139" i="8"/>
  <c r="D139" i="8"/>
  <c r="C166" i="8"/>
  <c r="D166" i="8"/>
  <c r="C57" i="8"/>
  <c r="D57" i="8"/>
  <c r="J90" i="8"/>
  <c r="E90" i="8" s="1"/>
  <c r="D165" i="8" l="1"/>
  <c r="C165" i="8"/>
  <c r="D164" i="8"/>
  <c r="C164" i="8"/>
  <c r="D163" i="8"/>
  <c r="G163" i="8" s="1"/>
  <c r="C163" i="8"/>
  <c r="F163" i="8" s="1"/>
  <c r="D162" i="8"/>
  <c r="G162" i="8" s="1"/>
  <c r="C162" i="8"/>
  <c r="F162" i="8" s="1"/>
  <c r="D161" i="8"/>
  <c r="C161" i="8"/>
  <c r="D160" i="8"/>
  <c r="C160" i="8"/>
  <c r="D159" i="8"/>
  <c r="C159" i="8"/>
  <c r="D158" i="8"/>
  <c r="G158" i="8" s="1"/>
  <c r="C158" i="8"/>
  <c r="F158" i="8" s="1"/>
  <c r="D157" i="8"/>
  <c r="G157" i="8" s="1"/>
  <c r="C157" i="8"/>
  <c r="F157" i="8" s="1"/>
  <c r="D156" i="8"/>
  <c r="G156" i="8" s="1"/>
  <c r="C156" i="8"/>
  <c r="F156" i="8" s="1"/>
  <c r="D155" i="8"/>
  <c r="G155" i="8" s="1"/>
  <c r="C155" i="8"/>
  <c r="F155" i="8" s="1"/>
  <c r="D154" i="8"/>
  <c r="G154" i="8" s="1"/>
  <c r="C154" i="8"/>
  <c r="F154" i="8" s="1"/>
  <c r="D153" i="8"/>
  <c r="G153" i="8" s="1"/>
  <c r="C153" i="8"/>
  <c r="F153" i="8" s="1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G145" i="8" s="1"/>
  <c r="C145" i="8"/>
  <c r="F145" i="8" s="1"/>
  <c r="D144" i="8"/>
  <c r="G144" i="8" s="1"/>
  <c r="C144" i="8"/>
  <c r="F144" i="8" s="1"/>
  <c r="D143" i="8"/>
  <c r="C143" i="8"/>
  <c r="D142" i="8"/>
  <c r="C142" i="8"/>
  <c r="D141" i="8"/>
  <c r="C141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G128" i="8" s="1"/>
  <c r="C128" i="8"/>
  <c r="F128" i="8" s="1"/>
  <c r="D127" i="8"/>
  <c r="G127" i="8" s="1"/>
  <c r="C127" i="8"/>
  <c r="F127" i="8" s="1"/>
  <c r="C126" i="8"/>
  <c r="F126" i="8" s="1"/>
  <c r="D125" i="8"/>
  <c r="G125" i="8" s="1"/>
  <c r="C125" i="8"/>
  <c r="F125" i="8" s="1"/>
  <c r="D124" i="8"/>
  <c r="G124" i="8" s="1"/>
  <c r="C124" i="8"/>
  <c r="F124" i="8" s="1"/>
  <c r="D123" i="8"/>
  <c r="G123" i="8" s="1"/>
  <c r="C123" i="8"/>
  <c r="F123" i="8" s="1"/>
  <c r="D122" i="8"/>
  <c r="G122" i="8" s="1"/>
  <c r="C122" i="8"/>
  <c r="F122" i="8" s="1"/>
  <c r="D121" i="8"/>
  <c r="G121" i="8" s="1"/>
  <c r="C121" i="8"/>
  <c r="F121" i="8" s="1"/>
  <c r="D120" i="8"/>
  <c r="G120" i="8" s="1"/>
  <c r="C120" i="8"/>
  <c r="F120" i="8" s="1"/>
  <c r="D119" i="8"/>
  <c r="G119" i="8" s="1"/>
  <c r="C119" i="8"/>
  <c r="F119" i="8" s="1"/>
  <c r="D118" i="8"/>
  <c r="G118" i="8" s="1"/>
  <c r="C118" i="8"/>
  <c r="F118" i="8" s="1"/>
  <c r="D117" i="8"/>
  <c r="G117" i="8" s="1"/>
  <c r="C117" i="8"/>
  <c r="F117" i="8" s="1"/>
  <c r="D116" i="8"/>
  <c r="G116" i="8" s="1"/>
  <c r="C116" i="8"/>
  <c r="F116" i="8" s="1"/>
  <c r="D115" i="8"/>
  <c r="G115" i="8" s="1"/>
  <c r="C115" i="8"/>
  <c r="F115" i="8" s="1"/>
  <c r="D114" i="8"/>
  <c r="G114" i="8" s="1"/>
  <c r="C114" i="8"/>
  <c r="F114" i="8" s="1"/>
  <c r="D113" i="8"/>
  <c r="G113" i="8" s="1"/>
  <c r="C113" i="8"/>
  <c r="F113" i="8" s="1"/>
  <c r="D112" i="8"/>
  <c r="G112" i="8" s="1"/>
  <c r="C112" i="8"/>
  <c r="F112" i="8" s="1"/>
  <c r="C111" i="8"/>
  <c r="D110" i="8"/>
  <c r="C110" i="8"/>
  <c r="D109" i="8"/>
  <c r="C109" i="8"/>
  <c r="D108" i="8"/>
  <c r="G108" i="8" s="1"/>
  <c r="C108" i="8"/>
  <c r="F108" i="8" s="1"/>
  <c r="D107" i="8"/>
  <c r="G107" i="8" s="1"/>
  <c r="C107" i="8"/>
  <c r="F107" i="8" s="1"/>
  <c r="D106" i="8"/>
  <c r="G106" i="8" s="1"/>
  <c r="C106" i="8"/>
  <c r="F106" i="8" s="1"/>
  <c r="D105" i="8"/>
  <c r="C105" i="8"/>
  <c r="D104" i="8"/>
  <c r="G104" i="8" s="1"/>
  <c r="C104" i="8"/>
  <c r="F104" i="8" s="1"/>
  <c r="D103" i="8"/>
  <c r="G103" i="8" s="1"/>
  <c r="C103" i="8"/>
  <c r="F103" i="8" s="1"/>
  <c r="D102" i="8"/>
  <c r="G102" i="8" s="1"/>
  <c r="C102" i="8"/>
  <c r="F102" i="8" s="1"/>
  <c r="C101" i="8"/>
  <c r="F101" i="8" s="1"/>
  <c r="D100" i="8"/>
  <c r="G100" i="8" s="1"/>
  <c r="C100" i="8"/>
  <c r="F100" i="8" s="1"/>
  <c r="D99" i="8"/>
  <c r="C99" i="8"/>
  <c r="D98" i="8"/>
  <c r="G98" i="8" s="1"/>
  <c r="C98" i="8"/>
  <c r="F98" i="8" s="1"/>
  <c r="D97" i="8"/>
  <c r="G97" i="8" s="1"/>
  <c r="C97" i="8"/>
  <c r="F97" i="8" s="1"/>
  <c r="D96" i="8"/>
  <c r="G96" i="8" s="1"/>
  <c r="C96" i="8"/>
  <c r="F96" i="8" s="1"/>
  <c r="D95" i="8"/>
  <c r="C95" i="8"/>
  <c r="D94" i="8"/>
  <c r="G94" i="8" s="1"/>
  <c r="C94" i="8"/>
  <c r="F94" i="8" s="1"/>
  <c r="D93" i="8"/>
  <c r="G93" i="8" s="1"/>
  <c r="C93" i="8"/>
  <c r="F93" i="8" s="1"/>
  <c r="D92" i="8"/>
  <c r="G92" i="8" s="1"/>
  <c r="C92" i="8"/>
  <c r="F92" i="8" s="1"/>
  <c r="D91" i="8"/>
  <c r="G91" i="8" s="1"/>
  <c r="C91" i="8"/>
  <c r="F91" i="8" s="1"/>
  <c r="D90" i="8"/>
  <c r="C90" i="8"/>
  <c r="D89" i="8"/>
  <c r="C89" i="8"/>
  <c r="D88" i="8"/>
  <c r="C88" i="8"/>
  <c r="D87" i="8"/>
  <c r="G87" i="8" s="1"/>
  <c r="C87" i="8"/>
  <c r="F87" i="8" s="1"/>
  <c r="D86" i="8"/>
  <c r="G86" i="8" s="1"/>
  <c r="C86" i="8"/>
  <c r="F86" i="8" s="1"/>
  <c r="D85" i="8"/>
  <c r="G85" i="8" s="1"/>
  <c r="C85" i="8"/>
  <c r="F85" i="8" s="1"/>
  <c r="D84" i="8"/>
  <c r="G84" i="8" s="1"/>
  <c r="C84" i="8"/>
  <c r="F84" i="8" s="1"/>
  <c r="D83" i="8"/>
  <c r="D82" i="8"/>
  <c r="C82" i="8"/>
  <c r="D81" i="8"/>
  <c r="C81" i="8"/>
  <c r="D80" i="8"/>
  <c r="C80" i="8"/>
  <c r="D79" i="8"/>
  <c r="C79" i="8"/>
  <c r="D78" i="8"/>
  <c r="C78" i="8"/>
  <c r="D77" i="8"/>
  <c r="G77" i="8" s="1"/>
  <c r="C77" i="8"/>
  <c r="F77" i="8" s="1"/>
  <c r="D76" i="8"/>
  <c r="C76" i="8"/>
  <c r="D75" i="8"/>
  <c r="C75" i="8"/>
  <c r="D74" i="8"/>
  <c r="C74" i="8"/>
  <c r="D73" i="8"/>
  <c r="C73" i="8"/>
  <c r="D72" i="8"/>
  <c r="G72" i="8" s="1"/>
  <c r="C72" i="8"/>
  <c r="F72" i="8" s="1"/>
  <c r="D71" i="8"/>
  <c r="G71" i="8" s="1"/>
  <c r="C71" i="8"/>
  <c r="F71" i="8" s="1"/>
  <c r="D70" i="8"/>
  <c r="G70" i="8" s="1"/>
  <c r="C70" i="8"/>
  <c r="F70" i="8" s="1"/>
  <c r="D69" i="8"/>
  <c r="G69" i="8" s="1"/>
  <c r="C69" i="8"/>
  <c r="F69" i="8" s="1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G61" i="8" s="1"/>
  <c r="C61" i="8"/>
  <c r="F61" i="8" s="1"/>
  <c r="D60" i="8"/>
  <c r="C60" i="8"/>
  <c r="D59" i="8"/>
  <c r="C59" i="8"/>
  <c r="D58" i="8"/>
  <c r="C58" i="8"/>
  <c r="D56" i="8"/>
  <c r="C56" i="8"/>
  <c r="D55" i="8"/>
  <c r="C55" i="8"/>
  <c r="D53" i="8"/>
  <c r="C53" i="8"/>
  <c r="D52" i="8"/>
  <c r="C52" i="8"/>
  <c r="D51" i="8"/>
  <c r="G51" i="8" s="1"/>
  <c r="C51" i="8"/>
  <c r="F51" i="8" s="1"/>
  <c r="D50" i="8"/>
  <c r="C50" i="8"/>
  <c r="D49" i="8"/>
  <c r="C49" i="8"/>
  <c r="D48" i="8"/>
  <c r="G48" i="8" s="1"/>
  <c r="C48" i="8"/>
  <c r="F48" i="8" s="1"/>
  <c r="D47" i="8"/>
  <c r="G47" i="8" s="1"/>
  <c r="C47" i="8"/>
  <c r="F47" i="8" s="1"/>
  <c r="D46" i="8"/>
  <c r="G46" i="8" s="1"/>
  <c r="C46" i="8"/>
  <c r="F46" i="8" s="1"/>
  <c r="D45" i="8"/>
  <c r="C45" i="8"/>
  <c r="D44" i="8"/>
  <c r="D43" i="8"/>
  <c r="C43" i="8"/>
  <c r="D41" i="8"/>
  <c r="C41" i="8"/>
  <c r="D40" i="8"/>
  <c r="G40" i="8" s="1"/>
  <c r="C40" i="8"/>
  <c r="F40" i="8" s="1"/>
  <c r="D39" i="8"/>
  <c r="G39" i="8" s="1"/>
  <c r="C39" i="8"/>
  <c r="F39" i="8" s="1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E62" i="8"/>
  <c r="E63" i="8"/>
  <c r="E64" i="8"/>
  <c r="E65" i="8"/>
  <c r="E66" i="8"/>
  <c r="E67" i="8"/>
  <c r="E68" i="8"/>
  <c r="E73" i="8"/>
  <c r="E74" i="8"/>
  <c r="E75" i="8"/>
  <c r="E76" i="8"/>
  <c r="E78" i="8"/>
  <c r="E79" i="8"/>
  <c r="E80" i="8"/>
  <c r="E81" i="8"/>
  <c r="E82" i="8"/>
  <c r="E83" i="8"/>
  <c r="E88" i="8"/>
  <c r="E89" i="8"/>
  <c r="E95" i="8"/>
  <c r="E105" i="8"/>
  <c r="E109" i="8"/>
  <c r="E110" i="8"/>
  <c r="E111" i="8"/>
  <c r="E129" i="8"/>
  <c r="E130" i="8"/>
  <c r="E131" i="8"/>
  <c r="E132" i="8"/>
  <c r="E133" i="8"/>
  <c r="E134" i="8"/>
  <c r="E135" i="8"/>
  <c r="E136" i="8"/>
  <c r="E137" i="8"/>
  <c r="E138" i="8"/>
  <c r="E141" i="8"/>
  <c r="E142" i="8"/>
  <c r="E143" i="8"/>
  <c r="E1" i="8"/>
  <c r="D1" i="11"/>
  <c r="K99" i="8"/>
  <c r="E99" i="8" s="1"/>
  <c r="K60" i="8"/>
  <c r="E60" i="8" s="1"/>
  <c r="E59" i="8"/>
  <c r="E58" i="8"/>
  <c r="E56" i="8"/>
  <c r="E52" i="8"/>
  <c r="E50" i="8"/>
  <c r="E49" i="8"/>
  <c r="E45" i="8"/>
  <c r="E44" i="8"/>
  <c r="E43" i="8"/>
  <c r="E41" i="8"/>
  <c r="F1069" i="1"/>
  <c r="C83" i="8" s="1"/>
  <c r="F904" i="1"/>
  <c r="D111" i="8" s="1"/>
  <c r="F816" i="1"/>
  <c r="D126" i="8" s="1"/>
  <c r="G126" i="8" s="1"/>
  <c r="F620" i="1"/>
  <c r="D101" i="8" s="1"/>
  <c r="G101" i="8" s="1"/>
  <c r="F422" i="1"/>
  <c r="C44" i="8" s="1"/>
  <c r="G65" i="8" l="1"/>
  <c r="F138" i="8"/>
  <c r="G62" i="8"/>
  <c r="F135" i="8"/>
  <c r="G90" i="8"/>
  <c r="F89" i="8"/>
  <c r="F95" i="8"/>
  <c r="F136" i="8"/>
  <c r="F131" i="8"/>
  <c r="F141" i="8"/>
  <c r="F137" i="8"/>
  <c r="G136" i="8"/>
  <c r="G78" i="8"/>
  <c r="F143" i="8"/>
  <c r="F78" i="8"/>
  <c r="F142" i="8"/>
  <c r="G88" i="8"/>
  <c r="G138" i="8"/>
  <c r="G83" i="8"/>
  <c r="F83" i="8"/>
  <c r="G143" i="8"/>
  <c r="G131" i="8"/>
  <c r="F75" i="8"/>
  <c r="G135" i="8"/>
  <c r="F111" i="8"/>
  <c r="F105" i="8"/>
  <c r="F63" i="8"/>
  <c r="F74" i="8"/>
  <c r="F110" i="8"/>
  <c r="F67" i="8"/>
  <c r="F62" i="8"/>
  <c r="F79" i="8"/>
  <c r="F73" i="8"/>
  <c r="F133" i="8"/>
  <c r="G109" i="8"/>
  <c r="F66" i="8"/>
  <c r="G130" i="8"/>
  <c r="G89" i="8"/>
  <c r="F80" i="8"/>
  <c r="F65" i="8"/>
  <c r="F130" i="8"/>
  <c r="F134" i="8"/>
  <c r="F129" i="8"/>
  <c r="F109" i="8"/>
  <c r="G74" i="8"/>
  <c r="F88" i="8"/>
  <c r="F68" i="8"/>
  <c r="F64" i="8"/>
  <c r="G79" i="8"/>
  <c r="G137" i="8"/>
  <c r="G73" i="8"/>
  <c r="G67" i="8"/>
  <c r="G63" i="8"/>
  <c r="G142" i="8"/>
  <c r="F132" i="8"/>
  <c r="G111" i="8"/>
  <c r="F82" i="8"/>
  <c r="G66" i="8"/>
  <c r="G95" i="8"/>
  <c r="G141" i="8"/>
  <c r="G110" i="8"/>
  <c r="F90" i="8"/>
  <c r="F76" i="8"/>
  <c r="G105" i="8"/>
  <c r="F81" i="8"/>
  <c r="F99" i="8"/>
  <c r="G99" i="8"/>
  <c r="G133" i="8"/>
  <c r="G81" i="8"/>
  <c r="G64" i="8"/>
  <c r="G129" i="8"/>
  <c r="G132" i="8"/>
  <c r="G80" i="8"/>
  <c r="G76" i="8"/>
  <c r="G134" i="8"/>
  <c r="G82" i="8"/>
  <c r="G68" i="8"/>
  <c r="G75" i="8"/>
  <c r="F53" i="8"/>
  <c r="G53" i="8"/>
  <c r="D8" i="11"/>
  <c r="F8" i="11" s="1"/>
  <c r="D16" i="11"/>
  <c r="F16" i="11" s="1"/>
  <c r="F44" i="8"/>
  <c r="G50" i="8"/>
  <c r="F58" i="8"/>
  <c r="F49" i="8"/>
  <c r="G49" i="8"/>
  <c r="F41" i="8"/>
  <c r="F60" i="8"/>
  <c r="F52" i="8"/>
  <c r="G56" i="8"/>
  <c r="G60" i="8"/>
  <c r="G44" i="8"/>
  <c r="G52" i="8"/>
  <c r="G45" i="8"/>
  <c r="F50" i="8"/>
  <c r="F56" i="8"/>
  <c r="G41" i="8"/>
  <c r="G58" i="8"/>
  <c r="F43" i="8"/>
  <c r="F59" i="8"/>
  <c r="G43" i="8"/>
  <c r="G59" i="8"/>
  <c r="F45" i="8"/>
  <c r="D3" i="11"/>
  <c r="F3" i="11" s="1"/>
  <c r="D7" i="11"/>
  <c r="F7" i="11" s="1"/>
  <c r="D11" i="11"/>
  <c r="F11" i="11" s="1"/>
  <c r="D15" i="11"/>
  <c r="F15" i="11" s="1"/>
  <c r="D5" i="11"/>
  <c r="F5" i="11" s="1"/>
  <c r="D6" i="11"/>
  <c r="F6" i="11" s="1"/>
  <c r="D13" i="11"/>
  <c r="D14" i="11"/>
  <c r="F14" i="11" s="1"/>
  <c r="D12" i="11"/>
  <c r="D4" i="11"/>
  <c r="E8" i="11" l="1"/>
  <c r="G8" i="11" s="1"/>
  <c r="E16" i="11"/>
  <c r="G16" i="11" s="1"/>
  <c r="E15" i="11"/>
  <c r="G15" i="11" s="1"/>
  <c r="E11" i="11"/>
  <c r="G11" i="11" s="1"/>
  <c r="E7" i="11"/>
  <c r="G7" i="11" s="1"/>
  <c r="E3" i="11"/>
  <c r="G3" i="11" s="1"/>
  <c r="E14" i="11"/>
  <c r="G14" i="11" s="1"/>
  <c r="E6" i="11"/>
  <c r="G6" i="11" s="1"/>
  <c r="E5" i="11"/>
  <c r="G5" i="11" s="1"/>
  <c r="F13" i="11"/>
  <c r="E13" i="11"/>
  <c r="G13" i="11" s="1"/>
  <c r="F12" i="11"/>
  <c r="E12" i="11"/>
  <c r="G12" i="11" s="1"/>
  <c r="E4" i="11"/>
  <c r="G4" i="11" s="1"/>
  <c r="F4" i="11"/>
</calcChain>
</file>

<file path=xl/sharedStrings.xml><?xml version="1.0" encoding="utf-8"?>
<sst xmlns="http://schemas.openxmlformats.org/spreadsheetml/2006/main" count="6702" uniqueCount="540">
  <si>
    <t>Дата</t>
  </si>
  <si>
    <t>Смена
день/ночь</t>
  </si>
  <si>
    <t>Кол-во испол-ей, эл.монт.</t>
  </si>
  <si>
    <t>Наименование</t>
  </si>
  <si>
    <t>Объём выполненной работы</t>
  </si>
  <si>
    <t>День</t>
  </si>
  <si>
    <t>406/1</t>
  </si>
  <si>
    <t>406/3</t>
  </si>
  <si>
    <t>Не было 2 часа электропитания</t>
  </si>
  <si>
    <t>—</t>
  </si>
  <si>
    <t>Разметка отверстий шт</t>
  </si>
  <si>
    <t>Сборка и разборка лесов. Продолжительность времени 60 минут</t>
  </si>
  <si>
    <t>Монтаж анкерного болта шт</t>
  </si>
  <si>
    <t>406/2</t>
  </si>
  <si>
    <t>Монтаж лотка 200х80, м</t>
  </si>
  <si>
    <t>Разметка полосы заземления 25x4, м</t>
  </si>
  <si>
    <t>Разметка отверстий под скобу держатель шт</t>
  </si>
  <si>
    <t>Разметка полосы заземления, м</t>
  </si>
  <si>
    <t>Длина одной трубы 850 мм</t>
  </si>
  <si>
    <t>112, 114</t>
  </si>
  <si>
    <t>Сборка и разборка лесов продолжительность 60 минут</t>
  </si>
  <si>
    <t>Разметка отверстий под гильзо-пакеты</t>
  </si>
  <si>
    <t>111, 101, 112, 114</t>
  </si>
  <si>
    <t>Монтаж светильников ДСП 49-75-005 шт</t>
  </si>
  <si>
    <t>Монтаж светильников ДСП 15-120-001 шт</t>
  </si>
  <si>
    <t>Монтаж светильников ДСП 15-120 ЕМ1 шт</t>
  </si>
  <si>
    <t>Монтаж гофры Дн20, м</t>
  </si>
  <si>
    <t>114, 112</t>
  </si>
  <si>
    <t>Для прокладки кабеля под освещение</t>
  </si>
  <si>
    <t>Монтаж светильников ДСП 88-30-101 шт</t>
  </si>
  <si>
    <t>102а-111а</t>
  </si>
  <si>
    <t>Сборка и разборка лесов, 60 минут</t>
  </si>
  <si>
    <t>Толщина стен 700 мм</t>
  </si>
  <si>
    <t>Монтаж светильников 1ДБО88-30-161 шт</t>
  </si>
  <si>
    <t>101а, 102а, 103а</t>
  </si>
  <si>
    <t>Монтаж трубы ВГП Дн20, м</t>
  </si>
  <si>
    <t>Ночь</t>
  </si>
  <si>
    <t>104а, 105а, 106а, 107а</t>
  </si>
  <si>
    <t>117, 112</t>
  </si>
  <si>
    <t>Сварка 6 сгонов</t>
  </si>
  <si>
    <t>Фасад</t>
  </si>
  <si>
    <t>Монтаж кабеля, м</t>
  </si>
  <si>
    <t>Монтаж временных консолей шт</t>
  </si>
  <si>
    <t>2 </t>
  </si>
  <si>
    <t>1 </t>
  </si>
  <si>
    <t>5 </t>
  </si>
  <si>
    <t>6 </t>
  </si>
  <si>
    <t>3 </t>
  </si>
  <si>
    <t>7 </t>
  </si>
  <si>
    <t>4 </t>
  </si>
  <si>
    <t>Уборка помещений</t>
  </si>
  <si>
    <t>Заготовка гильзопакетов</t>
  </si>
  <si>
    <t>8 </t>
  </si>
  <si>
    <t>Монтаж временных консолей, 11 шт 
Изготовление отверстий, 40 шт</t>
  </si>
  <si>
    <t>28 отверстий, 28 шпилек</t>
  </si>
  <si>
    <t>Демонтаж трубы ВГП Дн20, м</t>
  </si>
  <si>
    <t>Демонтаж/монтаж лестничного лотка 200×80, м</t>
  </si>
  <si>
    <t>Демонтаж/монтаж лестничного лотка 400×80, м</t>
  </si>
  <si>
    <t>Монтаж лотка перф. 50x50, м</t>
  </si>
  <si>
    <t xml:space="preserve">монтаж/демонтаж лесов </t>
  </si>
  <si>
    <t>Демонтаж/монтаж лестничного лотка, м</t>
  </si>
  <si>
    <t>Демонтаж/монтаж светильников шт</t>
  </si>
  <si>
    <t>101, 112</t>
  </si>
  <si>
    <t>Демонтаж/монтаж кабеля, м</t>
  </si>
  <si>
    <t>Демонтаж/монтаж трубы ВГП Дн20, м</t>
  </si>
  <si>
    <t>Прочие работы</t>
  </si>
  <si>
    <t>Комплектация материала на складе</t>
  </si>
  <si>
    <t>Уборка рабочего места, помещений</t>
  </si>
  <si>
    <t>Сбор остатков материала с помещений</t>
  </si>
  <si>
    <t>Демонтаж/монтаж гофры Дн20</t>
  </si>
  <si>
    <t>Монтаж лотка перф. 400х80, м</t>
  </si>
  <si>
    <t>Монтаж лотка перф. 200х80, м</t>
  </si>
  <si>
    <t>Разметка и бурение под гильзопакеты</t>
  </si>
  <si>
    <t>Монтаж лотка лест. 200х80, м</t>
  </si>
  <si>
    <t xml:space="preserve">Монтаж лесов </t>
  </si>
  <si>
    <t>Наружняя часть</t>
  </si>
  <si>
    <t>Заготовка гильз под кабельные проходки для освещения</t>
  </si>
  <si>
    <t>Демонтаж временых консолей, шт</t>
  </si>
  <si>
    <t>Монтаж лотка перф. 100х80, м</t>
  </si>
  <si>
    <t>Монтаж светильников, шт</t>
  </si>
  <si>
    <t>Заготовка трубы ВГП Дн20, м</t>
  </si>
  <si>
    <t>Демонтаж/монтаж РК, шт</t>
  </si>
  <si>
    <t>Монтаж консоли 300 мм, шт</t>
  </si>
  <si>
    <t>Монтаж консоли 400 мм, шт</t>
  </si>
  <si>
    <t>Монтаж консоли 750 мм, шт</t>
  </si>
  <si>
    <t>Монтаж консоли 600 мм, шт</t>
  </si>
  <si>
    <t>Монтаж консоли 650 мм, шт</t>
  </si>
  <si>
    <t>Монтаж лотка лест. 400х80, м</t>
  </si>
  <si>
    <t>Монтаж лотка лест. 300х80, м</t>
  </si>
  <si>
    <t>Монтаж полосы заземления, м</t>
  </si>
  <si>
    <t>Монтаж полосы заземления 25x4, м</t>
  </si>
  <si>
    <t>Монтаж полосы заземления 40x4, м</t>
  </si>
  <si>
    <t>Монтаж консоли, шт</t>
  </si>
  <si>
    <t>Монтаж РК, шт</t>
  </si>
  <si>
    <t>Подключение РК, шт</t>
  </si>
  <si>
    <t>Демонтаж РК, шт</t>
  </si>
  <si>
    <t>Монтаж РК У-994, шт</t>
  </si>
  <si>
    <t>Подключение светильников, шт</t>
  </si>
  <si>
    <t>406/1 и 406/2</t>
  </si>
  <si>
    <t>Монтаж поворота лотка 200 мм 90гр., шт</t>
  </si>
  <si>
    <t>Монтаж лесов</t>
  </si>
  <si>
    <t>Монтаж шпилек в помещении полимеризации для скобы держателей заземления</t>
  </si>
  <si>
    <t>406/1 Фасад +3700</t>
  </si>
  <si>
    <t>Монтаж консоли временной</t>
  </si>
  <si>
    <t>Здание</t>
  </si>
  <si>
    <t>Помещение, Отметка</t>
  </si>
  <si>
    <t>Сварка 8 стыков</t>
  </si>
  <si>
    <t>Монтаж крепления лотка LP1000, шт</t>
  </si>
  <si>
    <t>Монтаж консоли 200 мм, шт</t>
  </si>
  <si>
    <t>Демонтаж/Монтаж шпильки, шт</t>
  </si>
  <si>
    <t>Монтаж шпилек М8, м</t>
  </si>
  <si>
    <t>под светильники + монтаж/ демонтаж лесов</t>
  </si>
  <si>
    <t>Монтаж стенового крепления LP5000, шт</t>
  </si>
  <si>
    <t>Землчяные работы, копка траншеи</t>
  </si>
  <si>
    <t>Земляные работы, копка траншеи - 35м</t>
  </si>
  <si>
    <t>Монтаж заземлителя уголок верт. 50x50х5 L3000, шт</t>
  </si>
  <si>
    <t>Земляные работы, копка траншеи - 75м</t>
  </si>
  <si>
    <t>Демонтаж лесов</t>
  </si>
  <si>
    <t>зачистка, покраска - 80шт</t>
  </si>
  <si>
    <t>монтаж лесов</t>
  </si>
  <si>
    <t>Демонтаж/Монтаж консоли шт</t>
  </si>
  <si>
    <t>ЭО</t>
  </si>
  <si>
    <t>Раздел/Примечание/прочие работы</t>
  </si>
  <si>
    <t>ЭМ</t>
  </si>
  <si>
    <t>Демонтаж лотка лест. 400х80, м</t>
  </si>
  <si>
    <t>Монтаж/демонтаж лесов</t>
  </si>
  <si>
    <t>Изготовление поворотов, соеденительных пластин и отверстие в просечке для проходки лотков</t>
  </si>
  <si>
    <t>Подача питания</t>
  </si>
  <si>
    <t>Подача питания, прозвонка светильника</t>
  </si>
  <si>
    <t>Монтаж лесов - 90 мин</t>
  </si>
  <si>
    <t>Монтаж лесов - 60 мин</t>
  </si>
  <si>
    <t>Монтаж/демонтаж лесов - 90 мин</t>
  </si>
  <si>
    <t>Зачистка сварочных швоф на полосах заземления</t>
  </si>
  <si>
    <t>Сверление гильзопакетов</t>
  </si>
  <si>
    <t>Заготовка и Покраска гильзопакетов</t>
  </si>
  <si>
    <t>Устранение повреждения девормированной полосы заземления 25х4</t>
  </si>
  <si>
    <t>монтаж/демонтаж лесов</t>
  </si>
  <si>
    <t xml:space="preserve">Заготовка и покраска </t>
  </si>
  <si>
    <t>подача питания</t>
  </si>
  <si>
    <t>Выравнивание и восстановление скобы-держателя для полосы заземления после повреждения</t>
  </si>
  <si>
    <t>Демонтаж лотка лест. 300х80, м</t>
  </si>
  <si>
    <t>Монтаж лесов - 90 минут</t>
  </si>
  <si>
    <t>Получение, доставка сборка и разборка лесов</t>
  </si>
  <si>
    <t>Демонтаж временых консолей</t>
  </si>
  <si>
    <t>Земляные работы, копка траншени для заземления, м</t>
  </si>
  <si>
    <t>Монтаж/демонтаж лесов - 120 минут</t>
  </si>
  <si>
    <t>Монтаж/демонтаж лесов - 90 минут</t>
  </si>
  <si>
    <t>Монтаж трубы ВГП Дн32, м</t>
  </si>
  <si>
    <t>ООО "КСИ"</t>
  </si>
  <si>
    <t>Остаток</t>
  </si>
  <si>
    <t>Домонтаж 22м</t>
  </si>
  <si>
    <t>Монтаж полосы заземления 50x5, м</t>
  </si>
  <si>
    <t>113, 117</t>
  </si>
  <si>
    <t>112, 101, 111, 117</t>
  </si>
  <si>
    <t>116, 117</t>
  </si>
  <si>
    <t>112, 116</t>
  </si>
  <si>
    <t>117, 101</t>
  </si>
  <si>
    <t>117, 101, 112, 111</t>
  </si>
  <si>
    <t>108, 102</t>
  </si>
  <si>
    <t>101, 111</t>
  </si>
  <si>
    <t>114, 115</t>
  </si>
  <si>
    <t>108, 105, 109</t>
  </si>
  <si>
    <t>, +3500</t>
  </si>
  <si>
    <t>111, +3500</t>
  </si>
  <si>
    <t>111, +6900</t>
  </si>
  <si>
    <t>116, +9500</t>
  </si>
  <si>
    <t>101, +6900</t>
  </si>
  <si>
    <t>101, +3500</t>
  </si>
  <si>
    <t>113, 6900</t>
  </si>
  <si>
    <t>Наружняя часть, ось 1</t>
  </si>
  <si>
    <t>Наружняя часть, ось В</t>
  </si>
  <si>
    <t>116, +5800</t>
  </si>
  <si>
    <t>111, +0000</t>
  </si>
  <si>
    <t>101, +0000</t>
  </si>
  <si>
    <t>103, +0000</t>
  </si>
  <si>
    <t>104, +0000</t>
  </si>
  <si>
    <t>117, +4900</t>
  </si>
  <si>
    <t>114, 4900</t>
  </si>
  <si>
    <t>110, +300</t>
  </si>
  <si>
    <t>112, +4900</t>
  </si>
  <si>
    <t>101, 111, 116, +9000</t>
  </si>
  <si>
    <t>112, 111, +9500</t>
  </si>
  <si>
    <t>101, +300</t>
  </si>
  <si>
    <t>101, 117, +6900</t>
  </si>
  <si>
    <t>116, +5800 (1-2 ось)</t>
  </si>
  <si>
    <t>116, +5800 (11-12 ось)</t>
  </si>
  <si>
    <t>112, +4900, +2500</t>
  </si>
  <si>
    <t>116, +2500</t>
  </si>
  <si>
    <t>112, 101, +2500</t>
  </si>
  <si>
    <t>116, +300</t>
  </si>
  <si>
    <t>114, +300</t>
  </si>
  <si>
    <t>111, +0.000, +3500</t>
  </si>
  <si>
    <t>112, +2500</t>
  </si>
  <si>
    <t>111, +3500, +6900</t>
  </si>
  <si>
    <t>116, +5000</t>
  </si>
  <si>
    <t>Фасад, +3700</t>
  </si>
  <si>
    <t>112, 114, 113, +300</t>
  </si>
  <si>
    <t>101, +5500</t>
  </si>
  <si>
    <t>+3700</t>
  </si>
  <si>
    <t>Монтаж П-образный профиль DKC PSL, м</t>
  </si>
  <si>
    <t>Монтаж кабеля ВВГнг(А)-FRLS 4х1,5, м</t>
  </si>
  <si>
    <t>Монтаж кабеля ВВГнг(А)-LS 5х2,5, м</t>
  </si>
  <si>
    <t>Монтаж кабеля ВВГнг(А)-LS 3х2,5, м</t>
  </si>
  <si>
    <t>Подоготовка материала для сварочных работ</t>
  </si>
  <si>
    <t>Разметка под крепление светильтников</t>
  </si>
  <si>
    <t>Монтаж светильников Diora Angar TR90, шт</t>
  </si>
  <si>
    <t>Монтаж заземления лотка IEK 200мм D=6мм 4мм.кв, шт</t>
  </si>
  <si>
    <t>Гереметизация отверстий гильзо-пакетов</t>
  </si>
  <si>
    <t>Монтаж струбцин шт</t>
  </si>
  <si>
    <t>Монтаж и разметка гильзопакетов</t>
  </si>
  <si>
    <t>Монтаж гильзопакетов</t>
  </si>
  <si>
    <t>Раметка и Монтаж гильзопакетов</t>
  </si>
  <si>
    <t>Монтаж БАП, шт</t>
  </si>
  <si>
    <t>Подключение БАП, шт</t>
  </si>
  <si>
    <t>Монтаж поворота лотка 50 мм 45гр., шт</t>
  </si>
  <si>
    <t>Земляные работы под монтаж заземления</t>
  </si>
  <si>
    <t>Подключение светильников Diora Angar TR90, шт</t>
  </si>
  <si>
    <t>Монтаж кабеля ПРКС 2х0,75 (штатный)</t>
  </si>
  <si>
    <t>Комплектация и заготовка материала</t>
  </si>
  <si>
    <t>Монтаж поворота лотка 200 мм 45гр., шт</t>
  </si>
  <si>
    <t>Монтаж светильников Kosmos 750, шт</t>
  </si>
  <si>
    <t>аварийный</t>
  </si>
  <si>
    <t>Монтаж консоли 900 мм, шт</t>
  </si>
  <si>
    <t>Монтаж крепления под светильник</t>
  </si>
  <si>
    <t>для 107</t>
  </si>
  <si>
    <t>Монтаж/демонтаж лесов - 90 минут 
для 107</t>
  </si>
  <si>
    <t>Монтаж/демонтаж лесов - 90 минут
для 104</t>
  </si>
  <si>
    <t>для 104</t>
  </si>
  <si>
    <t>для 103</t>
  </si>
  <si>
    <t>Комплектация и доставка материала со склада</t>
  </si>
  <si>
    <t>для 105 под монтаж БАП</t>
  </si>
  <si>
    <t>для 104 под монтаж БАП</t>
  </si>
  <si>
    <t>для 103 под монтаж БАП</t>
  </si>
  <si>
    <t>Изготовление и монтаж поворотов</t>
  </si>
  <si>
    <t>Уборка рабочего места</t>
  </si>
  <si>
    <t>Монтаж/демонтаж лесов такелажные работы</t>
  </si>
  <si>
    <t>Монтаж поворота лотка 100 мм 45гр., шт</t>
  </si>
  <si>
    <t>аварийный свет.</t>
  </si>
  <si>
    <t>ДЕМОНТАЖ ЛОТКА</t>
  </si>
  <si>
    <t>Выравнивание и крепление консоли потолочной магистрали</t>
  </si>
  <si>
    <t xml:space="preserve">Сварочные работы </t>
  </si>
  <si>
    <t>Монтаж сгона Дн32, шт</t>
  </si>
  <si>
    <t>Монтаж сгона Дн20, шт</t>
  </si>
  <si>
    <t>аварийниые</t>
  </si>
  <si>
    <t>рабочие</t>
  </si>
  <si>
    <t>Уставка щита ЩО1</t>
  </si>
  <si>
    <t>Уставка щита ЩО2</t>
  </si>
  <si>
    <t>Уставка щита ЩАО1</t>
  </si>
  <si>
    <t>Уставка щита ЩАО2</t>
  </si>
  <si>
    <t>Уставка щита ПСПЗ-1</t>
  </si>
  <si>
    <t>Уставка щита ПСПЗ-2</t>
  </si>
  <si>
    <t>Уставка щита ЩР1</t>
  </si>
  <si>
    <t>Уставка щита ЩР2</t>
  </si>
  <si>
    <t>Изготовнение креплений</t>
  </si>
  <si>
    <t>Уставка щита ЩР3</t>
  </si>
  <si>
    <t>Уставка щита ЩР4</t>
  </si>
  <si>
    <t>Бурение под гильзы/гильзо-пакеты</t>
  </si>
  <si>
    <t xml:space="preserve">Изготовнение креплений </t>
  </si>
  <si>
    <t>Для аварийных светильников</t>
  </si>
  <si>
    <t>Для заземления</t>
  </si>
  <si>
    <t>Монтаж металлорукава Дн20 ПВХ, м</t>
  </si>
  <si>
    <t>Земляные работы копка траншеи под монтаж заземления</t>
  </si>
  <si>
    <t>Такелажные работы, Монтаж/демонтаж лесов</t>
  </si>
  <si>
    <t>аварийные</t>
  </si>
  <si>
    <t>Демонтаж/Монтаж консоли 600</t>
  </si>
  <si>
    <t>Переделка/восстановление после повреждений</t>
  </si>
  <si>
    <t>арарийные</t>
  </si>
  <si>
    <t>Монтаж кабеля ВВГнг(А)-LS 5х95, м</t>
  </si>
  <si>
    <t>111, 112</t>
  </si>
  <si>
    <t>Монтаж кабеля ВВГнг(А)-LS 5х6, м</t>
  </si>
  <si>
    <t>от ВРУ к щитам ОВ</t>
  </si>
  <si>
    <t>Монтаж кабеля ВВГнг(А)-LS 3х1,5, м</t>
  </si>
  <si>
    <t>Монтаж кабеля ВВГнг(А)-FRLS 3х1,5, м</t>
  </si>
  <si>
    <t>116, 112</t>
  </si>
  <si>
    <t>Монтаж кабеля ВВГнг(А)-LS 3х4, м</t>
  </si>
  <si>
    <t>Аварийный</t>
  </si>
  <si>
    <t>Рабочее освещение</t>
  </si>
  <si>
    <t>Аварийное освещение</t>
  </si>
  <si>
    <t>Монтаж кабеля ВВГнг(А)-LS 5х70, м</t>
  </si>
  <si>
    <t>Монтаж/демонтаж лесов
По ФАСАДУ</t>
  </si>
  <si>
    <t>Сварка и зачистка стыков</t>
  </si>
  <si>
    <t>Фасад, Устранение повреждения демонтированного светильника на входе</t>
  </si>
  <si>
    <t>Устранение повреждения</t>
  </si>
  <si>
    <t>Монтаж шпилек М8, шт</t>
  </si>
  <si>
    <t>Заготовка трубы ВГП Дн32</t>
  </si>
  <si>
    <t>прочие работы</t>
  </si>
  <si>
    <t>Примечание</t>
  </si>
  <si>
    <t xml:space="preserve">Выравнивание и крепление лотков </t>
  </si>
  <si>
    <t>убрали с проекта</t>
  </si>
  <si>
    <t xml:space="preserve"> + Покраска (оцинковка)</t>
  </si>
  <si>
    <t>Установка щита УКРМ</t>
  </si>
  <si>
    <t>Светильники</t>
  </si>
  <si>
    <t>Каб.констр.(лоток)</t>
  </si>
  <si>
    <t>Кабель</t>
  </si>
  <si>
    <t>Заземление</t>
  </si>
  <si>
    <t>Оборудование</t>
  </si>
  <si>
    <t>не указан какой</t>
  </si>
  <si>
    <t>Выключатели /разетки</t>
  </si>
  <si>
    <t>ед.изм.</t>
  </si>
  <si>
    <t>Заложено</t>
  </si>
  <si>
    <t>% выполненияя</t>
  </si>
  <si>
    <t>шт</t>
  </si>
  <si>
    <t>м</t>
  </si>
  <si>
    <t>% осталось</t>
  </si>
  <si>
    <t>Выполнено</t>
  </si>
  <si>
    <t>Установка щитов ВРУ Щ1</t>
  </si>
  <si>
    <t>Установка щитов ВРУ Щ2</t>
  </si>
  <si>
    <t xml:space="preserve">Краткий отчет </t>
  </si>
  <si>
    <t>Монтаж разделительной полосы лотка, м</t>
  </si>
  <si>
    <t>Монтаж траверса, шт</t>
  </si>
  <si>
    <t>Монтаж траверса, м</t>
  </si>
  <si>
    <t>Заложено по спец.</t>
  </si>
  <si>
    <t>Остаток 406/1</t>
  </si>
  <si>
    <t>Остаток 406/2</t>
  </si>
  <si>
    <t>Наименование работ</t>
  </si>
  <si>
    <t>Тип работы</t>
  </si>
  <si>
    <t>вместо ПРКА (ЭО)</t>
  </si>
  <si>
    <t>Монтаж лотка перф. 100х100, м</t>
  </si>
  <si>
    <t>доп. материал</t>
  </si>
  <si>
    <t>Пост кнопочный без фиксации на 1 кнопку (ПКУ-15-21.111-54У2)</t>
  </si>
  <si>
    <t>ось. В,1-10</t>
  </si>
  <si>
    <t>Подготовительные работы</t>
  </si>
  <si>
    <t>112, 117</t>
  </si>
  <si>
    <t>Подготовка приямка для установки ВРУ, чистка от шлака и мусора, приварка профиля</t>
  </si>
  <si>
    <t>Наличие на складе</t>
  </si>
  <si>
    <t>Монтаж кабеля КВВГнг(А)-LS 5х1,5, м</t>
  </si>
  <si>
    <t>Монтаж кабеля ВВГнг(А)-LS 5х1,5, м</t>
  </si>
  <si>
    <t>Монтаж Z-образный профиль, м</t>
  </si>
  <si>
    <t>Демонтаж лотка, мешал для ОВ</t>
  </si>
  <si>
    <t>Заводка кабеля в щит</t>
  </si>
  <si>
    <t>в щиты ЩО1, ЩАО1</t>
  </si>
  <si>
    <t>в щиты ЩО2, ЩАО2</t>
  </si>
  <si>
    <t>по контуру</t>
  </si>
  <si>
    <t>ВРУ (Щ2) здание 406/1</t>
  </si>
  <si>
    <t>ВРУ (Щ1) здание 406/1</t>
  </si>
  <si>
    <t>Щ1 (3 секции)</t>
  </si>
  <si>
    <t>Щ2 (3 секции)</t>
  </si>
  <si>
    <t>Сборка секций ВРУ</t>
  </si>
  <si>
    <t>Выгрузка щита</t>
  </si>
  <si>
    <t>УКРМ и занос в здание 406/1</t>
  </si>
  <si>
    <t>УКРМ до здания 406/1</t>
  </si>
  <si>
    <t>ВРУ 2 (Щ2) здание 406/2</t>
  </si>
  <si>
    <t>на полосе заземлении</t>
  </si>
  <si>
    <t>изм.4</t>
  </si>
  <si>
    <t>200х80 и 100х80</t>
  </si>
  <si>
    <t>Монтаж кабеля ВВГнг(А)-LS 5х4, м</t>
  </si>
  <si>
    <t>Укладка и увязка кабеля</t>
  </si>
  <si>
    <t>Демонтаж кабеля</t>
  </si>
  <si>
    <t>Уборка помещений и территории здания</t>
  </si>
  <si>
    <t>1 шт. убрали с РД</t>
  </si>
  <si>
    <t xml:space="preserve"> + заводка в РК вентилятора</t>
  </si>
  <si>
    <t>Монтаж востановление светильника и кабеля по фасаду</t>
  </si>
  <si>
    <t>Монтаж кабеля ВВГнг(А)-LS 5х35, м</t>
  </si>
  <si>
    <t>с 117 в 101 по фасаду</t>
  </si>
  <si>
    <t>с 112 в 111</t>
  </si>
  <si>
    <t>Общий отчет выполненых работ ООО "КСИ"</t>
  </si>
  <si>
    <t>Монтаж гильз/гильзопакетов</t>
  </si>
  <si>
    <t>Дн57 х 1м</t>
  </si>
  <si>
    <t>УКРМ здание 406/2</t>
  </si>
  <si>
    <t>ВРУ 1 (Щ1) здание 406/2</t>
  </si>
  <si>
    <t>в щит ВРУ 2</t>
  </si>
  <si>
    <t>в щит ВРУ 1</t>
  </si>
  <si>
    <t>Укладка и увязка кабеля, подвод к блокам кондициаонеров</t>
  </si>
  <si>
    <t>Приварка к рельсам и контуру заземления, зачистка шфов</t>
  </si>
  <si>
    <t>Сварочные работы, подводка трассы к блокам кондициаонеров</t>
  </si>
  <si>
    <t>в ВРУ 1 (Щ1)</t>
  </si>
  <si>
    <t>в ВРУ 2 (Щ2)</t>
  </si>
  <si>
    <t>к блокам кондиционеров</t>
  </si>
  <si>
    <t>Завершение установки и  выравнивание по уровню</t>
  </si>
  <si>
    <t>1ДБО88-30-161</t>
  </si>
  <si>
    <t>полосы заземления</t>
  </si>
  <si>
    <t>в ВРУ1</t>
  </si>
  <si>
    <t>в ЩО1</t>
  </si>
  <si>
    <t>в ВРУ2</t>
  </si>
  <si>
    <t>в ЩО2</t>
  </si>
  <si>
    <t xml:space="preserve"> + Покраска (оцинковка) полосы заземления</t>
  </si>
  <si>
    <t>ось, В,7-11</t>
  </si>
  <si>
    <t>Подключение оборудования</t>
  </si>
  <si>
    <t>Вентилятор</t>
  </si>
  <si>
    <t>метров</t>
  </si>
  <si>
    <t>земляные работы, копка поод заземление</t>
  </si>
  <si>
    <t>в ЩР3 и ЩР4</t>
  </si>
  <si>
    <t>К5.1,К6.1,К7.1,К8.1,</t>
  </si>
  <si>
    <t>Монтаж трубы ВГП Дн50, м</t>
  </si>
  <si>
    <t>Монтаж розеток, PA16-044B, шт.</t>
  </si>
  <si>
    <t>К1.1,К2.1,К3.1,К4.1,</t>
  </si>
  <si>
    <t>в тамбурах</t>
  </si>
  <si>
    <t>101а-111а</t>
  </si>
  <si>
    <t>Подключение выключателя, ВА-10-041В, шт.</t>
  </si>
  <si>
    <t>406/4</t>
  </si>
  <si>
    <t>406/5</t>
  </si>
  <si>
    <t>406/6</t>
  </si>
  <si>
    <t>406/7</t>
  </si>
  <si>
    <t>406/8</t>
  </si>
  <si>
    <t>406/9</t>
  </si>
  <si>
    <t>406/10</t>
  </si>
  <si>
    <t>406/11</t>
  </si>
  <si>
    <t>117, 114</t>
  </si>
  <si>
    <t>ЩР1 , ЩР2</t>
  </si>
  <si>
    <t>Монтаж трубы ВГП Дн40, м</t>
  </si>
  <si>
    <t>Сверление под крепление и доп. сальник</t>
  </si>
  <si>
    <t>с 117 в 114 через 116 +9500
Монтаж/демонтаж лесов</t>
  </si>
  <si>
    <t>Ящик ЯТП-0,25</t>
  </si>
  <si>
    <t>монтаж</t>
  </si>
  <si>
    <t>Монтаж кабеля КВВГнг(А)-LS 4х1,5, м</t>
  </si>
  <si>
    <t>вместо 3х1,5</t>
  </si>
  <si>
    <t>в П3ШУ</t>
  </si>
  <si>
    <t>Подключение моторов лебедок</t>
  </si>
  <si>
    <t>Монтаж металлорукава Дн20, м</t>
  </si>
  <si>
    <t>2, 3 ярус</t>
  </si>
  <si>
    <t>Монтаж L-образный профиль, м</t>
  </si>
  <si>
    <t>1,2 ярус</t>
  </si>
  <si>
    <t>Изготовление и монтаж поворота</t>
  </si>
  <si>
    <t>102, 103</t>
  </si>
  <si>
    <t>всесто КВВГнг(А)-LS 3х1,5, м</t>
  </si>
  <si>
    <t>Провод заземления (Ж/З) ПуГВнг(А)-LS 1×6, м</t>
  </si>
  <si>
    <t>Провод заземления (Ж/З) ПуГВнг(А)-LS, 1×25, м</t>
  </si>
  <si>
    <r>
      <t xml:space="preserve">в ПСПЗ-1 </t>
    </r>
    <r>
      <rPr>
        <sz val="12"/>
        <color theme="1"/>
        <rFont val="Calibri"/>
        <family val="2"/>
        <charset val="204"/>
        <scheme val="minor"/>
      </rPr>
      <t>и</t>
    </r>
    <r>
      <rPr>
        <b/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Calibri"/>
        <family val="2"/>
        <charset val="204"/>
        <scheme val="minor"/>
      </rPr>
      <t>ПСПЗ-2</t>
    </r>
  </si>
  <si>
    <t>116, 111</t>
  </si>
  <si>
    <t>Монтаж кабеля ВВГнг(А)-LS 5х16, м</t>
  </si>
  <si>
    <t>Подключение Пост кнопочный ПКУ-15-21.111-54У2</t>
  </si>
  <si>
    <t>112, 111</t>
  </si>
  <si>
    <t>вместо 4х1,5</t>
  </si>
  <si>
    <t>болты М6 к заземлению</t>
  </si>
  <si>
    <t>на двери</t>
  </si>
  <si>
    <t>Монтаж термоусадки Дн20</t>
  </si>
  <si>
    <t>111, Наружняя часть</t>
  </si>
  <si>
    <t>в У1</t>
  </si>
  <si>
    <t>выключателя ПВ2</t>
  </si>
  <si>
    <t>демонтаж кабеля с наружи 111</t>
  </si>
  <si>
    <t>101 с наружней части</t>
  </si>
  <si>
    <t>111 с наружней части</t>
  </si>
  <si>
    <t>Монтаж кабеля КВВГнг(А)-LS 7х1,5, м</t>
  </si>
  <si>
    <t>117, 116</t>
  </si>
  <si>
    <t>117, 117</t>
  </si>
  <si>
    <t>117, 113</t>
  </si>
  <si>
    <t>в П1ШУ, П2ШУ, П3ШУ, П4ШУ укладка и подводка кабеля к щитам</t>
  </si>
  <si>
    <t>Монтаж гофры Дн25, м</t>
  </si>
  <si>
    <t>У-994</t>
  </si>
  <si>
    <t>серая</t>
  </si>
  <si>
    <t>замена</t>
  </si>
  <si>
    <t>Фасад, 101</t>
  </si>
  <si>
    <t>иготовление и монтаж сгонов</t>
  </si>
  <si>
    <t>117, Фасад, 101</t>
  </si>
  <si>
    <t>В9ШУ, В8ШУ</t>
  </si>
  <si>
    <t>111, 101</t>
  </si>
  <si>
    <t>Пакетный выключатель (ПВ 2-16 М1)</t>
  </si>
  <si>
    <t>Подключения двигателя вентиляции</t>
  </si>
  <si>
    <t xml:space="preserve">в ВРУ1 и УКРМ1 и УКРМ2 </t>
  </si>
  <si>
    <t>Монтаж кабеля ВВГнг(А)-FRLS 4х2,5, м</t>
  </si>
  <si>
    <t>Монтаж кабеля ВВГнг(А)-LS 4х2,5, м</t>
  </si>
  <si>
    <t xml:space="preserve">Дн 76 </t>
  </si>
  <si>
    <t>и переподключение из-за вент. коробов</t>
  </si>
  <si>
    <t>в лест. Лотке</t>
  </si>
  <si>
    <t>111, 112, 114</t>
  </si>
  <si>
    <t>Выключатель 1-клавишный ВА10-041В, шт.</t>
  </si>
  <si>
    <t>Монтаж скобы-держателя ND2312, шт</t>
  </si>
  <si>
    <t>в ВРУ1 и ПСПЗ-1</t>
  </si>
  <si>
    <t>в ВРУ2 и ПСПЗ-2</t>
  </si>
  <si>
    <t>Транспортировка</t>
  </si>
  <si>
    <t>Демонтаж и перевозка лесов с 401 здания</t>
  </si>
  <si>
    <t>аварийного</t>
  </si>
  <si>
    <t>112, 113, 101, 111</t>
  </si>
  <si>
    <t>Монтаж кабеля ВВГнг(А)-FRLST 5х70, м</t>
  </si>
  <si>
    <t>117, Фасад</t>
  </si>
  <si>
    <t>Монтаж оборудования</t>
  </si>
  <si>
    <t>монтаж рубильника 100А</t>
  </si>
  <si>
    <t>огнестойкой монтажной пеной</t>
  </si>
  <si>
    <t>блоки питания светильников</t>
  </si>
  <si>
    <t>аварийного освещения</t>
  </si>
  <si>
    <t>Уставка щита ЩВ1</t>
  </si>
  <si>
    <t>Уставка щита ЩВ2</t>
  </si>
  <si>
    <t>подводы к кондиционерам</t>
  </si>
  <si>
    <t>Монтаж металлорукава Дн40 ПВХ, м</t>
  </si>
  <si>
    <t>Изготовление отверстий, шт</t>
  </si>
  <si>
    <t>в рубильниках под сальниковые вводы</t>
  </si>
  <si>
    <t>Монтаж кабеля ВВГнг(А)-LS 5х25, м</t>
  </si>
  <si>
    <t>аварийных</t>
  </si>
  <si>
    <t>в щит ЩВ2</t>
  </si>
  <si>
    <t>в щит ВРУ1</t>
  </si>
  <si>
    <t>в щит ЩВ1</t>
  </si>
  <si>
    <t>щит ЩВ1</t>
  </si>
  <si>
    <t>П3</t>
  </si>
  <si>
    <t>П4</t>
  </si>
  <si>
    <t>на светильники</t>
  </si>
  <si>
    <t>ЩР3, ЩР4</t>
  </si>
  <si>
    <t>ЩР1, ЩР2</t>
  </si>
  <si>
    <t>В1ШУ, В2ШУ</t>
  </si>
  <si>
    <t>460/2</t>
  </si>
  <si>
    <t>Монтаж кабеля ВВГнг(А)-FRLST 3х2,5, м</t>
  </si>
  <si>
    <t>изготовление</t>
  </si>
  <si>
    <t>ось, В</t>
  </si>
  <si>
    <t>Демонтаж лотка, ось, В</t>
  </si>
  <si>
    <t>АКБ 1, АКБ 2</t>
  </si>
  <si>
    <t>Монтаж/демонтаж лесов +6000</t>
  </si>
  <si>
    <t>Монтаж/демонтаж лесов +6800</t>
  </si>
  <si>
    <t>ДЕМОНТАЖ</t>
  </si>
  <si>
    <t>отм. +3500</t>
  </si>
  <si>
    <t>Переключатель 1-клавишный ВА10-046B, шт.</t>
  </si>
  <si>
    <t>Подключение Переключателя 1-клавишный ВА10-046B, шт.</t>
  </si>
  <si>
    <t>Монтаж кабельной муфты 5х70</t>
  </si>
  <si>
    <t>щит управл. Водух.охл.</t>
  </si>
  <si>
    <t>перенос ШАУиТП</t>
  </si>
  <si>
    <t>фасад</t>
  </si>
  <si>
    <t>к кондиционерам</t>
  </si>
  <si>
    <t>ось, А , подключение двигателей вентиляторов</t>
  </si>
  <si>
    <t>изготовление поворота</t>
  </si>
  <si>
    <t>66м</t>
  </si>
  <si>
    <t xml:space="preserve"> + очистка от строительного шалака и бетона</t>
  </si>
  <si>
    <t>ось,В</t>
  </si>
  <si>
    <t xml:space="preserve">Пост кнопочный без фиксации на 3 кнопки IP54, 10А. ПКЕ-222-3 </t>
  </si>
  <si>
    <t xml:space="preserve">Пост кнопочный без фиксации на 2 кнопки IP54, 10А. ПКЕ-222-2 </t>
  </si>
  <si>
    <t>111,116,101</t>
  </si>
  <si>
    <t>113,115,116</t>
  </si>
  <si>
    <t>Покраска полосы заземления, м</t>
  </si>
  <si>
    <t>подключение щита ШАИТП</t>
  </si>
  <si>
    <t>Монтаж крышки лотка 50, м</t>
  </si>
  <si>
    <t>монтаж лесов (+5800)</t>
  </si>
  <si>
    <t>Монтаж крышки лотка 100, м</t>
  </si>
  <si>
    <t xml:space="preserve"> </t>
  </si>
  <si>
    <t>Подключение кнопочного поста ПКЕ 222-2</t>
  </si>
  <si>
    <t>Подключение розетки PA16-044B, шт</t>
  </si>
  <si>
    <t>105,106,107,108,116,102,103,104</t>
  </si>
  <si>
    <t>Подключение щита</t>
  </si>
  <si>
    <t>ШАУИТП</t>
  </si>
  <si>
    <t>Устранение замечаний</t>
  </si>
  <si>
    <t>ось,А</t>
  </si>
  <si>
    <t>Укладка и увязка кабеля, монтаж креплений</t>
  </si>
  <si>
    <t>ЩО1</t>
  </si>
  <si>
    <t>ЩО2</t>
  </si>
  <si>
    <t>Покраска труб ВГП, м</t>
  </si>
  <si>
    <t>Укладка и увязка кабеля, монтаж креплений лотка, крепление гофры по всему зданию</t>
  </si>
  <si>
    <t xml:space="preserve">Фасад </t>
  </si>
  <si>
    <t>ось В</t>
  </si>
  <si>
    <t>ось А</t>
  </si>
  <si>
    <t>111,101,Фасад</t>
  </si>
  <si>
    <t>монтаж крышек лотка 50</t>
  </si>
  <si>
    <t>Монтаж металлорукава Дн20 , м</t>
  </si>
  <si>
    <t>по зданию</t>
  </si>
  <si>
    <t>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</si>
</sst>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C0D0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66FF6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69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wrapText="1"/>
    </xf>
    <xf numFmtId="0" fontId="8" fillId="0" borderId="1" xfId="0" applyFont="1" applyBorder="1"/>
    <xf numFmtId="0" fontId="8" fillId="0" borderId="4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49" fontId="8" fillId="0" borderId="6" xfId="0" applyNumberFormat="1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vertical="center" wrapText="1"/>
    </xf>
    <xf numFmtId="0" fontId="8" fillId="0" borderId="7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vertical="center" wrapText="1"/>
    </xf>
    <xf numFmtId="0" fontId="8" fillId="0" borderId="4" xfId="0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wrapText="1"/>
    </xf>
    <xf numFmtId="49" fontId="8" fillId="0" borderId="4" xfId="0" applyNumberFormat="1" applyFont="1" applyBorder="1" applyAlignment="1">
      <alignment horizontal="left" wrapText="1"/>
    </xf>
    <xf numFmtId="49" fontId="8" fillId="0" borderId="5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8" fillId="0" borderId="1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49" fontId="8" fillId="0" borderId="3" xfId="0" applyNumberFormat="1" applyFont="1" applyBorder="1" applyAlignment="1"/>
    <xf numFmtId="49" fontId="8" fillId="0" borderId="1" xfId="0" applyNumberFormat="1" applyFont="1" applyBorder="1"/>
    <xf numFmtId="0" fontId="8" fillId="0" borderId="1" xfId="0" applyFont="1" applyBorder="1" applyAlignment="1"/>
    <xf numFmtId="0" fontId="8" fillId="0" borderId="3" xfId="0" applyFont="1" applyBorder="1" applyAlignment="1">
      <alignment wrapText="1"/>
    </xf>
    <xf numFmtId="0" fontId="8" fillId="0" borderId="5" xfId="0" applyFont="1" applyBorder="1" applyAlignment="1"/>
    <xf numFmtId="0" fontId="8" fillId="0" borderId="4" xfId="0" applyFont="1" applyBorder="1" applyAlignment="1">
      <alignment horizontal="right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wrapText="1"/>
    </xf>
    <xf numFmtId="0" fontId="8" fillId="2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right" vertical="center" wrapText="1"/>
    </xf>
    <xf numFmtId="49" fontId="8" fillId="0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8" fillId="0" borderId="3" xfId="0" applyFont="1" applyBorder="1" applyAlignment="1"/>
    <xf numFmtId="0" fontId="8" fillId="2" borderId="3" xfId="0" applyFont="1" applyFill="1" applyBorder="1" applyAlignment="1"/>
    <xf numFmtId="0" fontId="8" fillId="2" borderId="3" xfId="0" applyFont="1" applyFill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8" fillId="0" borderId="20" xfId="0" applyFont="1" applyBorder="1" applyAlignment="1">
      <alignment wrapText="1"/>
    </xf>
    <xf numFmtId="0" fontId="8" fillId="0" borderId="19" xfId="0" applyFont="1" applyBorder="1" applyAlignment="1">
      <alignment horizontal="left" wrapText="1"/>
    </xf>
    <xf numFmtId="0" fontId="8" fillId="0" borderId="19" xfId="0" applyFont="1" applyBorder="1" applyAlignment="1">
      <alignment horizontal="right" vertical="center" wrapText="1"/>
    </xf>
    <xf numFmtId="49" fontId="8" fillId="0" borderId="19" xfId="0" applyNumberFormat="1" applyFont="1" applyBorder="1" applyAlignment="1">
      <alignment vertical="center" wrapText="1"/>
    </xf>
    <xf numFmtId="0" fontId="8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wrapText="1"/>
    </xf>
    <xf numFmtId="49" fontId="8" fillId="2" borderId="5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vertical="center" wrapText="1"/>
    </xf>
    <xf numFmtId="49" fontId="8" fillId="2" borderId="19" xfId="0" applyNumberFormat="1" applyFont="1" applyFill="1" applyBorder="1" applyAlignment="1">
      <alignment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right" vertical="center" wrapText="1"/>
    </xf>
    <xf numFmtId="0" fontId="8" fillId="2" borderId="20" xfId="0" applyFont="1" applyFill="1" applyBorder="1" applyAlignment="1">
      <alignment wrapText="1"/>
    </xf>
    <xf numFmtId="0" fontId="8" fillId="0" borderId="3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4" xfId="0" applyFont="1" applyBorder="1" applyAlignment="1">
      <alignment wrapText="1"/>
    </xf>
    <xf numFmtId="0" fontId="8" fillId="0" borderId="24" xfId="0" applyFont="1" applyBorder="1"/>
    <xf numFmtId="0" fontId="8" fillId="0" borderId="9" xfId="0" applyFont="1" applyBorder="1" applyAlignment="1">
      <alignment horizontal="right" wrapText="1"/>
    </xf>
    <xf numFmtId="0" fontId="8" fillId="0" borderId="26" xfId="0" applyFont="1" applyBorder="1"/>
    <xf numFmtId="0" fontId="8" fillId="0" borderId="5" xfId="0" applyFont="1" applyBorder="1" applyAlignment="1">
      <alignment horizontal="left" wrapText="1"/>
    </xf>
    <xf numFmtId="0" fontId="8" fillId="0" borderId="7" xfId="0" applyFont="1" applyBorder="1" applyAlignment="1">
      <alignment horizontal="right" wrapText="1"/>
    </xf>
    <xf numFmtId="0" fontId="8" fillId="0" borderId="20" xfId="0" applyFont="1" applyBorder="1" applyAlignment="1">
      <alignment horizontal="right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wrapText="1"/>
    </xf>
    <xf numFmtId="49" fontId="8" fillId="0" borderId="21" xfId="0" applyNumberFormat="1" applyFont="1" applyBorder="1" applyAlignment="1">
      <alignment vertical="center" wrapText="1"/>
    </xf>
    <xf numFmtId="0" fontId="8" fillId="0" borderId="21" xfId="0" applyFont="1" applyBorder="1" applyAlignment="1">
      <alignment horizontal="right" vertical="center" wrapText="1"/>
    </xf>
    <xf numFmtId="0" fontId="8" fillId="0" borderId="27" xfId="0" applyFont="1" applyBorder="1" applyAlignment="1">
      <alignment horizontal="right" wrapText="1"/>
    </xf>
    <xf numFmtId="0" fontId="8" fillId="0" borderId="22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28" xfId="0" applyFont="1" applyBorder="1" applyAlignment="1">
      <alignment horizontal="left" wrapText="1"/>
    </xf>
    <xf numFmtId="0" fontId="9" fillId="0" borderId="1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8" fillId="0" borderId="3" xfId="0" applyFont="1" applyBorder="1" applyAlignment="1">
      <alignment horizontal="right" vertical="center" wrapText="1"/>
    </xf>
    <xf numFmtId="0" fontId="8" fillId="0" borderId="26" xfId="0" applyFont="1" applyBorder="1" applyAlignment="1">
      <alignment horizontal="left" wrapText="1"/>
    </xf>
    <xf numFmtId="0" fontId="8" fillId="0" borderId="1" xfId="0" applyFont="1" applyBorder="1" applyAlignment="1">
      <alignment horizontal="right" wrapText="1"/>
    </xf>
    <xf numFmtId="0" fontId="8" fillId="0" borderId="21" xfId="0" applyFont="1" applyBorder="1" applyAlignment="1">
      <alignment horizontal="right" wrapText="1"/>
    </xf>
    <xf numFmtId="0" fontId="8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right" vertical="center" wrapText="1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horizontal="right" vertical="center" wrapText="1"/>
    </xf>
    <xf numFmtId="0" fontId="8" fillId="5" borderId="1" xfId="0" applyFont="1" applyFill="1" applyBorder="1"/>
    <xf numFmtId="0" fontId="0" fillId="0" borderId="1" xfId="0" applyBorder="1"/>
    <xf numFmtId="9" fontId="0" fillId="0" borderId="1" xfId="1" applyFont="1" applyBorder="1"/>
    <xf numFmtId="0" fontId="13" fillId="0" borderId="13" xfId="0" applyFont="1" applyBorder="1"/>
    <xf numFmtId="0" fontId="0" fillId="0" borderId="21" xfId="0" applyBorder="1"/>
    <xf numFmtId="0" fontId="0" fillId="0" borderId="22" xfId="0" applyBorder="1"/>
    <xf numFmtId="0" fontId="0" fillId="0" borderId="16" xfId="0" applyBorder="1"/>
    <xf numFmtId="9" fontId="0" fillId="0" borderId="24" xfId="1" applyFont="1" applyBorder="1"/>
    <xf numFmtId="0" fontId="0" fillId="0" borderId="29" xfId="0" applyBorder="1"/>
    <xf numFmtId="0" fontId="0" fillId="0" borderId="19" xfId="0" applyBorder="1"/>
    <xf numFmtId="0" fontId="8" fillId="5" borderId="19" xfId="0" applyFont="1" applyFill="1" applyBorder="1"/>
    <xf numFmtId="9" fontId="0" fillId="0" borderId="28" xfId="1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4" fontId="4" fillId="0" borderId="0" xfId="0" applyNumberFormat="1" applyFont="1"/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9" fontId="0" fillId="0" borderId="19" xfId="1" applyFont="1" applyBorder="1"/>
    <xf numFmtId="0" fontId="8" fillId="0" borderId="3" xfId="0" applyFont="1" applyBorder="1"/>
    <xf numFmtId="0" fontId="4" fillId="0" borderId="1" xfId="0" applyFont="1" applyBorder="1" applyAlignment="1">
      <alignment horizontal="left" vertical="center"/>
    </xf>
    <xf numFmtId="0" fontId="8" fillId="0" borderId="3" xfId="0" applyFont="1" applyBorder="1"/>
    <xf numFmtId="0" fontId="0" fillId="0" borderId="5" xfId="0" applyBorder="1"/>
    <xf numFmtId="0" fontId="0" fillId="0" borderId="3" xfId="0" applyFont="1" applyBorder="1" applyAlignment="1">
      <alignment horizontal="left" wrapText="1"/>
    </xf>
    <xf numFmtId="0" fontId="4" fillId="0" borderId="30" xfId="0" applyFont="1" applyBorder="1" applyAlignment="1">
      <alignment horizontal="center" vertical="center"/>
    </xf>
    <xf numFmtId="0" fontId="0" fillId="0" borderId="30" xfId="0" applyBorder="1"/>
    <xf numFmtId="0" fontId="8" fillId="0" borderId="3" xfId="0" applyFont="1" applyBorder="1" applyAlignment="1">
      <alignment horizontal="right" vertical="center" wrapText="1"/>
    </xf>
    <xf numFmtId="0" fontId="0" fillId="0" borderId="3" xfId="0" applyBorder="1"/>
    <xf numFmtId="0" fontId="8" fillId="0" borderId="19" xfId="0" applyFont="1" applyBorder="1" applyAlignment="1">
      <alignment horizontal="right" wrapText="1"/>
    </xf>
    <xf numFmtId="0" fontId="8" fillId="0" borderId="3" xfId="0" applyFont="1" applyBorder="1"/>
    <xf numFmtId="0" fontId="0" fillId="0" borderId="0" xfId="0" applyBorder="1"/>
    <xf numFmtId="0" fontId="9" fillId="0" borderId="24" xfId="0" applyFont="1" applyBorder="1" applyAlignment="1">
      <alignment horizontal="left" wrapText="1"/>
    </xf>
    <xf numFmtId="0" fontId="12" fillId="4" borderId="31" xfId="0" applyFont="1" applyFill="1" applyBorder="1" applyAlignment="1">
      <alignment horizontal="left" vertical="center" wrapText="1"/>
    </xf>
    <xf numFmtId="0" fontId="12" fillId="4" borderId="30" xfId="0" applyFont="1" applyFill="1" applyBorder="1" applyAlignment="1">
      <alignment horizontal="left" vertical="center" wrapText="1"/>
    </xf>
    <xf numFmtId="0" fontId="14" fillId="2" borderId="0" xfId="0" applyFont="1" applyFill="1"/>
    <xf numFmtId="0" fontId="15" fillId="2" borderId="3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0" fillId="0" borderId="1" xfId="0" applyBorder="1" applyAlignment="1">
      <alignment horizontal="left" vertical="center"/>
    </xf>
    <xf numFmtId="0" fontId="8" fillId="0" borderId="3" xfId="0" applyFont="1" applyBorder="1"/>
    <xf numFmtId="0" fontId="14" fillId="2" borderId="3" xfId="0" applyFont="1" applyFill="1" applyBorder="1"/>
    <xf numFmtId="14" fontId="4" fillId="0" borderId="0" xfId="0" applyNumberFormat="1" applyFont="1" applyAlignment="1">
      <alignment horizontal="right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/>
    <xf numFmtId="0" fontId="0" fillId="0" borderId="1" xfId="0" applyFont="1" applyBorder="1" applyAlignment="1">
      <alignment wrapText="1"/>
    </xf>
    <xf numFmtId="0" fontId="8" fillId="0" borderId="3" xfId="0" applyFont="1" applyBorder="1"/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wrapText="1"/>
    </xf>
    <xf numFmtId="0" fontId="8" fillId="0" borderId="3" xfId="0" applyFont="1" applyBorder="1"/>
    <xf numFmtId="0" fontId="0" fillId="0" borderId="1" xfId="0" applyFont="1" applyBorder="1" applyAlignment="1">
      <alignment horizontal="left" vertical="center" wrapText="1"/>
    </xf>
    <xf numFmtId="0" fontId="0" fillId="0" borderId="5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0" fillId="2" borderId="1" xfId="0" applyFont="1" applyFill="1" applyBorder="1" applyAlignment="1">
      <alignment horizontal="left" wrapText="1"/>
    </xf>
    <xf numFmtId="0" fontId="0" fillId="0" borderId="14" xfId="0" applyFont="1" applyBorder="1" applyAlignment="1">
      <alignment horizontal="left" wrapText="1"/>
    </xf>
    <xf numFmtId="0" fontId="0" fillId="3" borderId="1" xfId="0" applyFont="1" applyFill="1" applyBorder="1" applyAlignment="1">
      <alignment wrapText="1"/>
    </xf>
    <xf numFmtId="0" fontId="0" fillId="3" borderId="14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0" fillId="0" borderId="19" xfId="0" applyFont="1" applyBorder="1" applyAlignment="1">
      <alignment horizontal="left" wrapText="1"/>
    </xf>
    <xf numFmtId="0" fontId="0" fillId="2" borderId="5" xfId="0" applyFont="1" applyFill="1" applyBorder="1" applyAlignment="1">
      <alignment horizontal="left" wrapText="1"/>
    </xf>
    <xf numFmtId="0" fontId="0" fillId="0" borderId="3" xfId="0" applyFont="1" applyFill="1" applyBorder="1" applyAlignment="1">
      <alignment horizontal="left" wrapText="1"/>
    </xf>
    <xf numFmtId="0" fontId="0" fillId="0" borderId="21" xfId="0" applyFont="1" applyBorder="1"/>
    <xf numFmtId="0" fontId="0" fillId="0" borderId="3" xfId="0" applyFont="1" applyBorder="1"/>
    <xf numFmtId="0" fontId="0" fillId="0" borderId="5" xfId="0" applyFont="1" applyBorder="1" applyAlignment="1">
      <alignment horizontal="left" wrapText="1"/>
    </xf>
    <xf numFmtId="0" fontId="0" fillId="0" borderId="21" xfId="0" applyFont="1" applyBorder="1" applyAlignment="1">
      <alignment horizontal="left" wrapText="1"/>
    </xf>
    <xf numFmtId="0" fontId="0" fillId="0" borderId="33" xfId="0" applyFont="1" applyBorder="1" applyAlignment="1">
      <alignment horizontal="left" wrapText="1"/>
    </xf>
    <xf numFmtId="0" fontId="0" fillId="6" borderId="33" xfId="0" applyFont="1" applyFill="1" applyBorder="1" applyAlignment="1">
      <alignment horizontal="left" wrapText="1"/>
    </xf>
    <xf numFmtId="0" fontId="8" fillId="0" borderId="3" xfId="0" applyFont="1" applyBorder="1"/>
    <xf numFmtId="0" fontId="0" fillId="2" borderId="1" xfId="0" applyFill="1" applyBorder="1"/>
    <xf numFmtId="1" fontId="0" fillId="2" borderId="1" xfId="0" applyNumberFormat="1" applyFill="1" applyBorder="1" applyAlignment="1">
      <alignment wrapText="1"/>
    </xf>
    <xf numFmtId="1" fontId="0" fillId="2" borderId="1" xfId="0" applyNumberFormat="1" applyFill="1" applyBorder="1"/>
    <xf numFmtId="1" fontId="14" fillId="2" borderId="3" xfId="0" applyNumberFormat="1" applyFont="1" applyFill="1" applyBorder="1"/>
    <xf numFmtId="0" fontId="8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right" vertical="center" wrapText="1"/>
    </xf>
    <xf numFmtId="0" fontId="8" fillId="0" borderId="32" xfId="0" applyFont="1" applyBorder="1" applyAlignment="1">
      <alignment horizontal="left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7" borderId="1" xfId="0" applyFont="1" applyFill="1" applyBorder="1" applyAlignment="1">
      <alignment wrapText="1"/>
    </xf>
    <xf numFmtId="0" fontId="8" fillId="0" borderId="3" xfId="0" applyFont="1" applyBorder="1" applyAlignment="1">
      <alignment horizontal="right" vertical="center" wrapText="1"/>
    </xf>
    <xf numFmtId="0" fontId="0" fillId="0" borderId="2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wrapText="1"/>
    </xf>
    <xf numFmtId="0" fontId="8" fillId="2" borderId="1" xfId="0" applyFont="1" applyFill="1" applyBorder="1" applyAlignment="1">
      <alignment horizontal="right" wrapText="1"/>
    </xf>
    <xf numFmtId="0" fontId="8" fillId="0" borderId="3" xfId="0" applyFont="1" applyBorder="1"/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/>
    <xf numFmtId="0" fontId="8" fillId="0" borderId="3" xfId="0" applyFont="1" applyBorder="1" applyAlignment="1">
      <alignment horizontal="right" vertical="center" wrapText="1"/>
    </xf>
    <xf numFmtId="0" fontId="9" fillId="0" borderId="1" xfId="0" applyFont="1" applyBorder="1"/>
    <xf numFmtId="0" fontId="9" fillId="0" borderId="9" xfId="0" applyFont="1" applyBorder="1"/>
    <xf numFmtId="0" fontId="9" fillId="0" borderId="4" xfId="0" applyFont="1" applyBorder="1"/>
    <xf numFmtId="0" fontId="9" fillId="2" borderId="9" xfId="0" applyFont="1" applyFill="1" applyBorder="1"/>
    <xf numFmtId="0" fontId="4" fillId="0" borderId="1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vertical="center" wrapText="1"/>
    </xf>
    <xf numFmtId="0" fontId="0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wrapText="1"/>
    </xf>
    <xf numFmtId="0" fontId="8" fillId="0" borderId="0" xfId="0" applyFont="1" applyBorder="1" applyAlignment="1">
      <alignment horizontal="left" wrapText="1"/>
    </xf>
    <xf numFmtId="0" fontId="8" fillId="0" borderId="3" xfId="0" applyFont="1" applyBorder="1" applyAlignment="1">
      <alignment horizontal="right" vertical="center" wrapText="1"/>
    </xf>
    <xf numFmtId="0" fontId="0" fillId="0" borderId="9" xfId="0" applyBorder="1"/>
    <xf numFmtId="0" fontId="8" fillId="0" borderId="9" xfId="0" applyFont="1" applyBorder="1"/>
    <xf numFmtId="0" fontId="14" fillId="2" borderId="34" xfId="0" applyFont="1" applyFill="1" applyBorder="1"/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4" xfId="0" applyFont="1" applyBorder="1"/>
    <xf numFmtId="0" fontId="14" fillId="2" borderId="30" xfId="0" applyFont="1" applyFill="1" applyBorder="1"/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right" vertical="center" wrapText="1"/>
    </xf>
    <xf numFmtId="0" fontId="0" fillId="0" borderId="4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wrapText="1"/>
    </xf>
    <xf numFmtId="0" fontId="10" fillId="0" borderId="21" xfId="0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10" fillId="0" borderId="21" xfId="0" applyFont="1" applyBorder="1" applyAlignment="1">
      <alignment horizontal="right" vertical="center" wrapText="1"/>
    </xf>
    <xf numFmtId="0" fontId="10" fillId="0" borderId="21" xfId="0" applyFont="1" applyBorder="1" applyAlignment="1">
      <alignment horizontal="right" wrapText="1"/>
    </xf>
    <xf numFmtId="0" fontId="2" fillId="0" borderId="24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26" xfId="0" applyFont="1" applyBorder="1" applyAlignment="1">
      <alignment wrapText="1"/>
    </xf>
    <xf numFmtId="0" fontId="2" fillId="0" borderId="21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8" fillId="0" borderId="21" xfId="0" applyFont="1" applyBorder="1" applyAlignment="1">
      <alignment wrapText="1"/>
    </xf>
    <xf numFmtId="0" fontId="8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25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4" fontId="8" fillId="0" borderId="29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vertical="center" wrapText="1"/>
    </xf>
    <xf numFmtId="14" fontId="8" fillId="0" borderId="16" xfId="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4" fontId="8" fillId="0" borderId="15" xfId="0" applyNumberFormat="1" applyFont="1" applyBorder="1" applyAlignment="1">
      <alignment vertical="center" wrapText="1"/>
    </xf>
    <xf numFmtId="14" fontId="8" fillId="0" borderId="23" xfId="0" applyNumberFormat="1" applyFont="1" applyBorder="1" applyAlignment="1">
      <alignment vertical="center" wrapText="1"/>
    </xf>
    <xf numFmtId="14" fontId="8" fillId="0" borderId="18" xfId="0" applyNumberFormat="1" applyFont="1" applyBorder="1" applyAlignment="1">
      <alignment vertical="center" wrapText="1"/>
    </xf>
    <xf numFmtId="14" fontId="8" fillId="0" borderId="25" xfId="0" applyNumberFormat="1" applyFont="1" applyBorder="1" applyAlignment="1">
      <alignment vertical="center" wrapText="1"/>
    </xf>
    <xf numFmtId="14" fontId="8" fillId="0" borderId="17" xfId="0" applyNumberFormat="1" applyFont="1" applyBorder="1" applyAlignment="1">
      <alignment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4" fontId="8" fillId="2" borderId="6" xfId="0" applyNumberFormat="1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4" fontId="8" fillId="3" borderId="6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3" xfId="0" applyFont="1" applyBorder="1"/>
    <xf numFmtId="0" fontId="8" fillId="0" borderId="6" xfId="0" applyFont="1" applyBorder="1"/>
    <xf numFmtId="0" fontId="8" fillId="0" borderId="5" xfId="0" applyFont="1" applyBorder="1"/>
    <xf numFmtId="0" fontId="10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9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14" fontId="8" fillId="0" borderId="11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4" fontId="8" fillId="0" borderId="2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14" fontId="8" fillId="2" borderId="8" xfId="0" applyNumberFormat="1" applyFont="1" applyFill="1" applyBorder="1" applyAlignment="1">
      <alignment horizontal="center" vertical="center" wrapText="1"/>
    </xf>
    <xf numFmtId="14" fontId="8" fillId="0" borderId="29" xfId="0" applyNumberFormat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14" fontId="10" fillId="0" borderId="15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14" fontId="10" fillId="0" borderId="29" xfId="0" applyNumberFormat="1" applyFont="1" applyBorder="1" applyAlignment="1">
      <alignment horizontal="center" vertical="center" wrapText="1"/>
    </xf>
    <xf numFmtId="14" fontId="10" fillId="0" borderId="2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harset val="204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charset val="204"/>
      </font>
      <alignment horizontal="left" vertical="center" textRotation="0" indent="0" justifyLastLine="0" shrinkToFit="0" readingOrder="0"/>
    </dxf>
  </dxfs>
  <tableStyles count="0" defaultTableStyle="TableStyleMedium2" defaultPivotStyle="PivotStyleLight16"/>
  <colors>
    <mruColors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C32E2-EF8E-4096-BFB1-3B3BD2D03621}" name="Таблица1" displayName="Таблица1" ref="A2:G178" totalsRowShown="0" headerRowDxfId="20" headerRowBorderDxfId="19" tableBorderDxfId="18">
  <autoFilter ref="A2:G178" xr:uid="{47CC32E2-EF8E-4096-BFB1-3B3BD2D03621}"/>
  <tableColumns count="7">
    <tableColumn id="4" xr3:uid="{FB8062D4-008C-42EA-B70D-4EF6918A0E02}" name="Тип работы"/>
    <tableColumn id="1" xr3:uid="{5CCD4EA6-50B6-4DEF-AF15-E073B5743F11}" name="Наименование работ" dataDxfId="17"/>
    <tableColumn id="2" xr3:uid="{9573DBB2-D639-4F62-B183-58785CA7E4E1}" name="406/1" dataDxfId="16">
      <calculatedColumnFormula>SUMIFS('Журнал Работ'!F:F,'Журнал Работ'!E:E,B3,'Журнал Работ'!C:C,$C$2)</calculatedColumnFormula>
    </tableColumn>
    <tableColumn id="3" xr3:uid="{42154349-EF9C-4B87-BC3A-9EF355DC1446}" name="406/2" dataDxfId="15">
      <calculatedColumnFormula>SUMIFS('Журнал Работ'!F:F,'Журнал Работ'!E:E,B3,'Журнал Работ'!C:C,$D$2)</calculatedColumnFormula>
    </tableColumn>
    <tableColumn id="5" xr3:uid="{8F82D0F4-EAE3-4BF9-B114-E3E728A01851}" name="Заложено по спец." dataDxfId="14"/>
    <tableColumn id="6" xr3:uid="{4583E898-8384-43D8-B2B1-94F4E2296B52}" name="Остаток 406/1" dataDxfId="13"/>
    <tableColumn id="7" xr3:uid="{3FC855D4-EF72-434F-B794-B2EEA6C9333B}" name="Остаток 406/2" dataDxfId="1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H2424"/>
  <sheetViews>
    <sheetView tabSelected="1" zoomScale="85" zoomScaleNormal="85" workbookViewId="0">
      <pane ySplit="1" topLeftCell="A2413" activePane="bottomLeft" state="frozen"/>
      <selection pane="bottomLeft" activeCell="A2407" sqref="A2407:H2424"/>
    </sheetView>
  </sheetViews>
  <sheetFormatPr defaultColWidth="8.85546875" defaultRowHeight="15.75" x14ac:dyDescent="0.25"/>
  <cols>
    <col min="1" max="1" width="13" style="202" customWidth="1"/>
    <col min="2" max="2" width="7.140625" style="203" customWidth="1"/>
    <col min="3" max="3" width="20.28515625" style="204" bestFit="1" customWidth="1"/>
    <col min="4" max="4" width="10.7109375" style="202" customWidth="1"/>
    <col min="5" max="5" width="60.28515625" style="205" bestFit="1" customWidth="1"/>
    <col min="6" max="6" width="17.7109375" style="206" bestFit="1" customWidth="1"/>
    <col min="7" max="7" width="21.7109375" style="207" customWidth="1"/>
    <col min="8" max="8" width="45.5703125" style="208" bestFit="1" customWidth="1"/>
    <col min="9" max="9" width="8.85546875" style="3" customWidth="1"/>
    <col min="10" max="16384" width="8.85546875" style="3"/>
  </cols>
  <sheetData>
    <row r="1" spans="1:8" s="2" customFormat="1" ht="63" x14ac:dyDescent="0.25">
      <c r="A1" s="7" t="s">
        <v>0</v>
      </c>
      <c r="B1" s="85" t="s">
        <v>1</v>
      </c>
      <c r="C1" s="8" t="s">
        <v>104</v>
      </c>
      <c r="D1" s="7" t="s">
        <v>2</v>
      </c>
      <c r="E1" s="151" t="s">
        <v>3</v>
      </c>
      <c r="F1" s="7" t="s">
        <v>4</v>
      </c>
      <c r="G1" s="7" t="s">
        <v>105</v>
      </c>
      <c r="H1" s="7" t="s">
        <v>122</v>
      </c>
    </row>
    <row r="2" spans="1:8" x14ac:dyDescent="0.25">
      <c r="A2" s="288">
        <v>46097</v>
      </c>
      <c r="B2" s="297" t="s">
        <v>5</v>
      </c>
      <c r="C2" s="10" t="s">
        <v>6</v>
      </c>
      <c r="D2" s="263">
        <v>2</v>
      </c>
      <c r="E2" s="152" t="s">
        <v>90</v>
      </c>
      <c r="F2" s="12">
        <v>18</v>
      </c>
      <c r="G2" s="13">
        <v>111</v>
      </c>
      <c r="H2" s="11"/>
    </row>
    <row r="3" spans="1:8" x14ac:dyDescent="0.25">
      <c r="A3" s="289"/>
      <c r="B3" s="298"/>
      <c r="C3" s="10" t="s">
        <v>6</v>
      </c>
      <c r="D3" s="264"/>
      <c r="E3" s="143" t="s">
        <v>456</v>
      </c>
      <c r="F3" s="15">
        <v>30</v>
      </c>
      <c r="G3" s="16"/>
      <c r="H3" s="14"/>
    </row>
    <row r="4" spans="1:8" x14ac:dyDescent="0.25">
      <c r="A4" s="287">
        <v>46097</v>
      </c>
      <c r="B4" s="321" t="s">
        <v>5</v>
      </c>
      <c r="C4" s="17" t="s">
        <v>6</v>
      </c>
      <c r="D4" s="265">
        <v>3</v>
      </c>
      <c r="E4" s="143" t="s">
        <v>90</v>
      </c>
      <c r="F4" s="15">
        <v>48</v>
      </c>
      <c r="G4" s="16">
        <v>101</v>
      </c>
      <c r="H4" s="14"/>
    </row>
    <row r="5" spans="1:8" x14ac:dyDescent="0.25">
      <c r="A5" s="289"/>
      <c r="B5" s="298"/>
      <c r="C5" s="17" t="s">
        <v>6</v>
      </c>
      <c r="D5" s="264"/>
      <c r="E5" s="143" t="s">
        <v>456</v>
      </c>
      <c r="F5" s="15">
        <v>108</v>
      </c>
      <c r="G5" s="16"/>
      <c r="H5" s="14"/>
    </row>
    <row r="6" spans="1:8" x14ac:dyDescent="0.25">
      <c r="A6" s="287">
        <v>46098</v>
      </c>
      <c r="B6" s="321" t="s">
        <v>5</v>
      </c>
      <c r="C6" s="17" t="s">
        <v>6</v>
      </c>
      <c r="D6" s="265">
        <v>2</v>
      </c>
      <c r="E6" s="143" t="s">
        <v>90</v>
      </c>
      <c r="F6" s="15">
        <v>30</v>
      </c>
      <c r="G6" s="16">
        <v>111</v>
      </c>
      <c r="H6" s="14"/>
    </row>
    <row r="7" spans="1:8" x14ac:dyDescent="0.25">
      <c r="A7" s="289"/>
      <c r="B7" s="298"/>
      <c r="C7" s="17" t="s">
        <v>6</v>
      </c>
      <c r="D7" s="264"/>
      <c r="E7" s="143" t="s">
        <v>456</v>
      </c>
      <c r="F7" s="15">
        <v>68</v>
      </c>
      <c r="G7" s="16"/>
      <c r="H7" s="14"/>
    </row>
    <row r="8" spans="1:8" x14ac:dyDescent="0.25">
      <c r="A8" s="287">
        <v>46098</v>
      </c>
      <c r="B8" s="321" t="s">
        <v>5</v>
      </c>
      <c r="C8" s="17" t="s">
        <v>7</v>
      </c>
      <c r="D8" s="265">
        <v>3</v>
      </c>
      <c r="E8" s="143" t="s">
        <v>90</v>
      </c>
      <c r="F8" s="15">
        <v>18</v>
      </c>
      <c r="G8" s="16">
        <v>101</v>
      </c>
      <c r="H8" s="14"/>
    </row>
    <row r="9" spans="1:8" x14ac:dyDescent="0.25">
      <c r="A9" s="289"/>
      <c r="B9" s="298"/>
      <c r="C9" s="17" t="s">
        <v>7</v>
      </c>
      <c r="D9" s="264"/>
      <c r="E9" s="143" t="s">
        <v>456</v>
      </c>
      <c r="F9" s="15">
        <v>30</v>
      </c>
      <c r="G9" s="16"/>
      <c r="H9" s="14"/>
    </row>
    <row r="10" spans="1:8" x14ac:dyDescent="0.25">
      <c r="A10" s="287">
        <v>46099</v>
      </c>
      <c r="B10" s="321" t="s">
        <v>5</v>
      </c>
      <c r="C10" s="17" t="s">
        <v>7</v>
      </c>
      <c r="D10" s="265">
        <v>3</v>
      </c>
      <c r="E10" s="143" t="s">
        <v>90</v>
      </c>
      <c r="F10" s="15">
        <v>30</v>
      </c>
      <c r="G10" s="16">
        <v>101</v>
      </c>
      <c r="H10" s="14"/>
    </row>
    <row r="11" spans="1:8" x14ac:dyDescent="0.25">
      <c r="A11" s="289"/>
      <c r="B11" s="298"/>
      <c r="C11" s="17" t="s">
        <v>7</v>
      </c>
      <c r="D11" s="264"/>
      <c r="E11" s="143" t="s">
        <v>456</v>
      </c>
      <c r="F11" s="15">
        <v>68</v>
      </c>
      <c r="G11" s="16"/>
      <c r="H11" s="14"/>
    </row>
    <row r="12" spans="1:8" x14ac:dyDescent="0.25">
      <c r="A12" s="287">
        <v>46099</v>
      </c>
      <c r="B12" s="321" t="s">
        <v>5</v>
      </c>
      <c r="C12" s="17" t="s">
        <v>7</v>
      </c>
      <c r="D12" s="265">
        <v>4</v>
      </c>
      <c r="E12" s="143" t="s">
        <v>90</v>
      </c>
      <c r="F12" s="15">
        <v>30</v>
      </c>
      <c r="G12" s="16">
        <v>111</v>
      </c>
      <c r="H12" s="14"/>
    </row>
    <row r="13" spans="1:8" x14ac:dyDescent="0.25">
      <c r="A13" s="289"/>
      <c r="B13" s="298"/>
      <c r="C13" s="17" t="s">
        <v>7</v>
      </c>
      <c r="D13" s="264"/>
      <c r="E13" s="143" t="s">
        <v>456</v>
      </c>
      <c r="F13" s="15">
        <v>60</v>
      </c>
      <c r="G13" s="16"/>
      <c r="H13" s="14"/>
    </row>
    <row r="14" spans="1:8" x14ac:dyDescent="0.25">
      <c r="A14" s="287">
        <v>46100</v>
      </c>
      <c r="B14" s="321" t="s">
        <v>5</v>
      </c>
      <c r="C14" s="17" t="s">
        <v>6</v>
      </c>
      <c r="D14" s="265">
        <v>4</v>
      </c>
      <c r="E14" s="143" t="s">
        <v>82</v>
      </c>
      <c r="F14" s="15">
        <v>6</v>
      </c>
      <c r="G14" s="16"/>
      <c r="H14" s="14" t="s">
        <v>8</v>
      </c>
    </row>
    <row r="15" spans="1:8" x14ac:dyDescent="0.25">
      <c r="A15" s="288"/>
      <c r="B15" s="297"/>
      <c r="C15" s="17" t="s">
        <v>6</v>
      </c>
      <c r="D15" s="263"/>
      <c r="E15" s="143" t="s">
        <v>83</v>
      </c>
      <c r="F15" s="15">
        <v>15</v>
      </c>
      <c r="G15" s="16"/>
      <c r="H15" s="14"/>
    </row>
    <row r="16" spans="1:8" x14ac:dyDescent="0.25">
      <c r="A16" s="289"/>
      <c r="B16" s="298"/>
      <c r="C16" s="17" t="s">
        <v>6</v>
      </c>
      <c r="D16" s="264"/>
      <c r="E16" s="98" t="s">
        <v>71</v>
      </c>
      <c r="F16" s="15">
        <v>6</v>
      </c>
      <c r="G16" s="16"/>
      <c r="H16" s="14"/>
    </row>
    <row r="17" spans="1:8" x14ac:dyDescent="0.25">
      <c r="A17" s="18">
        <v>46100</v>
      </c>
      <c r="B17" s="83" t="s">
        <v>5</v>
      </c>
      <c r="C17" s="19" t="s">
        <v>6</v>
      </c>
      <c r="D17" s="248">
        <v>2</v>
      </c>
      <c r="E17" s="98" t="s">
        <v>229</v>
      </c>
      <c r="F17" s="15" t="s">
        <v>9</v>
      </c>
      <c r="G17" s="16"/>
      <c r="H17" s="14"/>
    </row>
    <row r="18" spans="1:8" x14ac:dyDescent="0.25">
      <c r="A18" s="287">
        <v>46101</v>
      </c>
      <c r="B18" s="321" t="s">
        <v>5</v>
      </c>
      <c r="C18" s="17" t="s">
        <v>6</v>
      </c>
      <c r="D18" s="265">
        <v>10</v>
      </c>
      <c r="E18" s="143" t="s">
        <v>283</v>
      </c>
      <c r="F18" s="15">
        <v>40</v>
      </c>
      <c r="G18" s="16" t="s">
        <v>180</v>
      </c>
      <c r="H18" s="14"/>
    </row>
    <row r="19" spans="1:8" x14ac:dyDescent="0.25">
      <c r="A19" s="288"/>
      <c r="B19" s="297"/>
      <c r="C19" s="17" t="s">
        <v>6</v>
      </c>
      <c r="D19" s="263"/>
      <c r="E19" s="143" t="s">
        <v>89</v>
      </c>
      <c r="F19" s="15">
        <v>18</v>
      </c>
      <c r="G19" s="16"/>
      <c r="H19" s="14"/>
    </row>
    <row r="20" spans="1:8" x14ac:dyDescent="0.25">
      <c r="A20" s="289"/>
      <c r="B20" s="298"/>
      <c r="C20" s="17" t="s">
        <v>6</v>
      </c>
      <c r="D20" s="264"/>
      <c r="E20" s="143" t="s">
        <v>456</v>
      </c>
      <c r="F20" s="15">
        <v>30</v>
      </c>
      <c r="G20" s="16"/>
      <c r="H20" s="14"/>
    </row>
    <row r="21" spans="1:8" x14ac:dyDescent="0.25">
      <c r="A21" s="287">
        <v>46102</v>
      </c>
      <c r="B21" s="321" t="s">
        <v>5</v>
      </c>
      <c r="C21" s="17" t="s">
        <v>6</v>
      </c>
      <c r="D21" s="265">
        <v>11</v>
      </c>
      <c r="E21" s="143" t="s">
        <v>283</v>
      </c>
      <c r="F21" s="15">
        <v>40</v>
      </c>
      <c r="G21" s="16" t="s">
        <v>165</v>
      </c>
      <c r="H21" s="14"/>
    </row>
    <row r="22" spans="1:8" x14ac:dyDescent="0.25">
      <c r="A22" s="288"/>
      <c r="B22" s="297"/>
      <c r="C22" s="17" t="s">
        <v>6</v>
      </c>
      <c r="D22" s="263"/>
      <c r="E22" s="143" t="s">
        <v>83</v>
      </c>
      <c r="F22" s="15">
        <v>12</v>
      </c>
      <c r="G22" s="16"/>
      <c r="H22" s="14"/>
    </row>
    <row r="23" spans="1:8" x14ac:dyDescent="0.25">
      <c r="A23" s="288"/>
      <c r="B23" s="297"/>
      <c r="C23" s="17" t="s">
        <v>6</v>
      </c>
      <c r="D23" s="263"/>
      <c r="E23" s="143" t="s">
        <v>90</v>
      </c>
      <c r="F23" s="15">
        <v>30</v>
      </c>
      <c r="G23" s="16"/>
      <c r="H23" s="14"/>
    </row>
    <row r="24" spans="1:8" x14ac:dyDescent="0.25">
      <c r="A24" s="289"/>
      <c r="B24" s="298"/>
      <c r="C24" s="17" t="s">
        <v>6</v>
      </c>
      <c r="D24" s="264"/>
      <c r="E24" s="143" t="s">
        <v>456</v>
      </c>
      <c r="F24" s="15">
        <v>68</v>
      </c>
      <c r="G24" s="16"/>
      <c r="H24" s="14"/>
    </row>
    <row r="25" spans="1:8" x14ac:dyDescent="0.25">
      <c r="A25" s="18">
        <v>46102</v>
      </c>
      <c r="B25" s="83" t="s">
        <v>5</v>
      </c>
      <c r="C25" s="21">
        <v>450</v>
      </c>
      <c r="D25" s="248">
        <v>1</v>
      </c>
      <c r="E25" s="98" t="s">
        <v>229</v>
      </c>
      <c r="F25" s="15" t="s">
        <v>9</v>
      </c>
      <c r="G25" s="16"/>
      <c r="H25" s="14"/>
    </row>
    <row r="26" spans="1:8" x14ac:dyDescent="0.25">
      <c r="A26" s="287">
        <v>46102</v>
      </c>
      <c r="B26" s="321" t="s">
        <v>5</v>
      </c>
      <c r="C26" s="17">
        <v>450</v>
      </c>
      <c r="D26" s="265">
        <v>5</v>
      </c>
      <c r="E26" s="143" t="s">
        <v>90</v>
      </c>
      <c r="F26" s="15">
        <v>20</v>
      </c>
      <c r="G26" s="16"/>
      <c r="H26" s="14"/>
    </row>
    <row r="27" spans="1:8" x14ac:dyDescent="0.25">
      <c r="A27" s="289"/>
      <c r="B27" s="298"/>
      <c r="C27" s="17">
        <v>450</v>
      </c>
      <c r="D27" s="264"/>
      <c r="E27" s="143" t="s">
        <v>456</v>
      </c>
      <c r="F27" s="15">
        <v>20</v>
      </c>
      <c r="G27" s="16"/>
      <c r="H27" s="14"/>
    </row>
    <row r="28" spans="1:8" x14ac:dyDescent="0.25">
      <c r="A28" s="287">
        <v>46103</v>
      </c>
      <c r="B28" s="321" t="s">
        <v>5</v>
      </c>
      <c r="C28" s="17" t="s">
        <v>6</v>
      </c>
      <c r="D28" s="265">
        <v>14</v>
      </c>
      <c r="E28" s="143" t="s">
        <v>10</v>
      </c>
      <c r="F28" s="15">
        <v>5</v>
      </c>
      <c r="G28" s="16" t="s">
        <v>181</v>
      </c>
      <c r="H28" s="14"/>
    </row>
    <row r="29" spans="1:8" x14ac:dyDescent="0.25">
      <c r="A29" s="288"/>
      <c r="B29" s="297"/>
      <c r="C29" s="17" t="s">
        <v>6</v>
      </c>
      <c r="D29" s="263"/>
      <c r="E29" s="143" t="s">
        <v>83</v>
      </c>
      <c r="F29" s="15">
        <v>15</v>
      </c>
      <c r="G29" s="16"/>
      <c r="H29" s="14"/>
    </row>
    <row r="30" spans="1:8" x14ac:dyDescent="0.25">
      <c r="A30" s="288"/>
      <c r="B30" s="297"/>
      <c r="C30" s="17" t="s">
        <v>6</v>
      </c>
      <c r="D30" s="263"/>
      <c r="E30" s="143" t="s">
        <v>90</v>
      </c>
      <c r="F30" s="15">
        <v>24</v>
      </c>
      <c r="G30" s="16"/>
      <c r="H30" s="14"/>
    </row>
    <row r="31" spans="1:8" x14ac:dyDescent="0.25">
      <c r="A31" s="288"/>
      <c r="B31" s="297"/>
      <c r="C31" s="17" t="s">
        <v>6</v>
      </c>
      <c r="D31" s="263"/>
      <c r="E31" s="143" t="s">
        <v>456</v>
      </c>
      <c r="F31" s="15">
        <v>48</v>
      </c>
      <c r="G31" s="16"/>
      <c r="H31" s="14"/>
    </row>
    <row r="32" spans="1:8" x14ac:dyDescent="0.25">
      <c r="A32" s="288"/>
      <c r="B32" s="297"/>
      <c r="C32" s="17" t="s">
        <v>6</v>
      </c>
      <c r="D32" s="263"/>
      <c r="E32" s="143" t="s">
        <v>283</v>
      </c>
      <c r="F32" s="15">
        <v>175</v>
      </c>
      <c r="G32" s="16"/>
      <c r="H32" s="14"/>
    </row>
    <row r="33" spans="1:8" x14ac:dyDescent="0.25">
      <c r="A33" s="289"/>
      <c r="B33" s="298"/>
      <c r="C33" s="17" t="s">
        <v>6</v>
      </c>
      <c r="D33" s="264"/>
      <c r="E33" s="153" t="s">
        <v>51</v>
      </c>
      <c r="F33" s="15">
        <v>50</v>
      </c>
      <c r="G33" s="16"/>
      <c r="H33" s="14"/>
    </row>
    <row r="34" spans="1:8" x14ac:dyDescent="0.25">
      <c r="A34" s="287">
        <v>46103</v>
      </c>
      <c r="B34" s="321" t="s">
        <v>5</v>
      </c>
      <c r="C34" s="17">
        <v>450</v>
      </c>
      <c r="D34" s="265">
        <v>7</v>
      </c>
      <c r="E34" s="143" t="s">
        <v>90</v>
      </c>
      <c r="F34" s="15">
        <v>60</v>
      </c>
      <c r="G34" s="16"/>
      <c r="H34" s="14"/>
    </row>
    <row r="35" spans="1:8" x14ac:dyDescent="0.25">
      <c r="A35" s="289"/>
      <c r="B35" s="298"/>
      <c r="C35" s="17">
        <v>450</v>
      </c>
      <c r="D35" s="264"/>
      <c r="E35" s="143" t="s">
        <v>456</v>
      </c>
      <c r="F35" s="15">
        <v>60</v>
      </c>
      <c r="G35" s="16"/>
      <c r="H35" s="14"/>
    </row>
    <row r="36" spans="1:8" x14ac:dyDescent="0.25">
      <c r="A36" s="287">
        <v>46104</v>
      </c>
      <c r="B36" s="321" t="s">
        <v>5</v>
      </c>
      <c r="C36" s="17" t="s">
        <v>6</v>
      </c>
      <c r="D36" s="265">
        <v>14</v>
      </c>
      <c r="E36" s="143" t="s">
        <v>10</v>
      </c>
      <c r="F36" s="15">
        <v>5</v>
      </c>
      <c r="G36" s="16"/>
      <c r="H36" s="14"/>
    </row>
    <row r="37" spans="1:8" x14ac:dyDescent="0.25">
      <c r="A37" s="288"/>
      <c r="B37" s="297"/>
      <c r="C37" s="17" t="s">
        <v>6</v>
      </c>
      <c r="D37" s="263"/>
      <c r="E37" s="143" t="s">
        <v>92</v>
      </c>
      <c r="F37" s="15">
        <v>15</v>
      </c>
      <c r="G37" s="16"/>
      <c r="H37" s="14"/>
    </row>
    <row r="38" spans="1:8" x14ac:dyDescent="0.25">
      <c r="A38" s="288"/>
      <c r="B38" s="297"/>
      <c r="C38" s="17" t="s">
        <v>6</v>
      </c>
      <c r="D38" s="263"/>
      <c r="E38" s="143" t="s">
        <v>89</v>
      </c>
      <c r="F38" s="15">
        <v>24</v>
      </c>
      <c r="G38" s="16"/>
      <c r="H38" s="14"/>
    </row>
    <row r="39" spans="1:8" ht="31.5" x14ac:dyDescent="0.25">
      <c r="A39" s="288"/>
      <c r="B39" s="297"/>
      <c r="C39" s="17" t="s">
        <v>6</v>
      </c>
      <c r="D39" s="263"/>
      <c r="E39" s="143" t="s">
        <v>456</v>
      </c>
      <c r="F39" s="15">
        <v>48</v>
      </c>
      <c r="G39" s="16"/>
      <c r="H39" s="14" t="s">
        <v>11</v>
      </c>
    </row>
    <row r="40" spans="1:8" x14ac:dyDescent="0.25">
      <c r="A40" s="288"/>
      <c r="B40" s="297"/>
      <c r="C40" s="17" t="s">
        <v>6</v>
      </c>
      <c r="D40" s="263"/>
      <c r="E40" s="143" t="s">
        <v>283</v>
      </c>
      <c r="F40" s="15">
        <v>175</v>
      </c>
      <c r="G40" s="16"/>
      <c r="H40" s="14"/>
    </row>
    <row r="41" spans="1:8" x14ac:dyDescent="0.25">
      <c r="A41" s="289"/>
      <c r="B41" s="298"/>
      <c r="C41" s="17" t="s">
        <v>6</v>
      </c>
      <c r="D41" s="264"/>
      <c r="E41" s="153" t="s">
        <v>51</v>
      </c>
      <c r="F41" s="15">
        <v>50</v>
      </c>
      <c r="G41" s="16"/>
      <c r="H41" s="14"/>
    </row>
    <row r="42" spans="1:8" x14ac:dyDescent="0.25">
      <c r="A42" s="287">
        <v>46104</v>
      </c>
      <c r="B42" s="321" t="s">
        <v>5</v>
      </c>
      <c r="C42" s="17">
        <v>450</v>
      </c>
      <c r="D42" s="265">
        <v>6</v>
      </c>
      <c r="E42" s="143" t="s">
        <v>89</v>
      </c>
      <c r="F42" s="15">
        <v>45</v>
      </c>
      <c r="G42" s="16"/>
      <c r="H42" s="14"/>
    </row>
    <row r="43" spans="1:8" x14ac:dyDescent="0.25">
      <c r="A43" s="289"/>
      <c r="B43" s="298"/>
      <c r="C43" s="17">
        <v>450</v>
      </c>
      <c r="D43" s="264"/>
      <c r="E43" s="143" t="s">
        <v>456</v>
      </c>
      <c r="F43" s="15">
        <v>50</v>
      </c>
      <c r="G43" s="16"/>
      <c r="H43" s="14"/>
    </row>
    <row r="44" spans="1:8" x14ac:dyDescent="0.25">
      <c r="A44" s="18">
        <v>46105</v>
      </c>
      <c r="B44" s="83" t="s">
        <v>5</v>
      </c>
      <c r="C44" s="19" t="s">
        <v>6</v>
      </c>
      <c r="D44" s="248">
        <v>2</v>
      </c>
      <c r="E44" s="143" t="s">
        <v>12</v>
      </c>
      <c r="F44" s="15">
        <v>38</v>
      </c>
      <c r="G44" s="16"/>
      <c r="H44" s="14"/>
    </row>
    <row r="45" spans="1:8" ht="31.5" x14ac:dyDescent="0.25">
      <c r="A45" s="287">
        <v>46105</v>
      </c>
      <c r="B45" s="321" t="s">
        <v>5</v>
      </c>
      <c r="C45" s="17">
        <v>450</v>
      </c>
      <c r="D45" s="265">
        <v>6</v>
      </c>
      <c r="E45" s="143" t="s">
        <v>89</v>
      </c>
      <c r="F45" s="15">
        <v>50</v>
      </c>
      <c r="G45" s="16"/>
      <c r="H45" s="14" t="s">
        <v>11</v>
      </c>
    </row>
    <row r="46" spans="1:8" x14ac:dyDescent="0.25">
      <c r="A46" s="289"/>
      <c r="B46" s="298"/>
      <c r="C46" s="17">
        <v>450</v>
      </c>
      <c r="D46" s="264"/>
      <c r="E46" s="143" t="s">
        <v>456</v>
      </c>
      <c r="F46" s="15">
        <v>50</v>
      </c>
      <c r="G46" s="16"/>
      <c r="H46" s="14"/>
    </row>
    <row r="47" spans="1:8" x14ac:dyDescent="0.25">
      <c r="A47" s="287">
        <v>46105</v>
      </c>
      <c r="B47" s="321" t="s">
        <v>5</v>
      </c>
      <c r="C47" s="17" t="s">
        <v>13</v>
      </c>
      <c r="D47" s="265">
        <v>8</v>
      </c>
      <c r="E47" s="98" t="s">
        <v>474</v>
      </c>
      <c r="F47" s="15">
        <v>140</v>
      </c>
      <c r="G47" s="16"/>
      <c r="H47" s="14"/>
    </row>
    <row r="48" spans="1:8" x14ac:dyDescent="0.25">
      <c r="A48" s="288"/>
      <c r="B48" s="297"/>
      <c r="C48" s="17" t="s">
        <v>13</v>
      </c>
      <c r="D48" s="263"/>
      <c r="E48" s="143" t="s">
        <v>89</v>
      </c>
      <c r="F48" s="15">
        <v>24</v>
      </c>
      <c r="G48" s="16"/>
      <c r="H48" s="14"/>
    </row>
    <row r="49" spans="1:8" x14ac:dyDescent="0.25">
      <c r="A49" s="289"/>
      <c r="B49" s="298"/>
      <c r="C49" s="17" t="s">
        <v>13</v>
      </c>
      <c r="D49" s="264"/>
      <c r="E49" s="143" t="s">
        <v>456</v>
      </c>
      <c r="F49" s="15">
        <v>48</v>
      </c>
      <c r="G49" s="16"/>
      <c r="H49" s="14"/>
    </row>
    <row r="50" spans="1:8" x14ac:dyDescent="0.25">
      <c r="A50" s="287">
        <v>46105</v>
      </c>
      <c r="B50" s="321" t="s">
        <v>5</v>
      </c>
      <c r="C50" s="17" t="s">
        <v>7</v>
      </c>
      <c r="D50" s="265">
        <v>5</v>
      </c>
      <c r="E50" s="143" t="s">
        <v>89</v>
      </c>
      <c r="F50" s="15">
        <v>25</v>
      </c>
      <c r="G50" s="16"/>
      <c r="H50" s="14"/>
    </row>
    <row r="51" spans="1:8" x14ac:dyDescent="0.25">
      <c r="A51" s="289"/>
      <c r="B51" s="298"/>
      <c r="C51" s="17" t="s">
        <v>7</v>
      </c>
      <c r="D51" s="264"/>
      <c r="E51" s="143" t="s">
        <v>456</v>
      </c>
      <c r="F51" s="15">
        <v>47</v>
      </c>
      <c r="G51" s="16"/>
      <c r="H51" s="14"/>
    </row>
    <row r="52" spans="1:8" x14ac:dyDescent="0.25">
      <c r="A52" s="18">
        <v>46105</v>
      </c>
      <c r="B52" s="83" t="s">
        <v>5</v>
      </c>
      <c r="C52" s="17" t="s">
        <v>7</v>
      </c>
      <c r="D52" s="248">
        <v>1</v>
      </c>
      <c r="E52" s="98" t="s">
        <v>229</v>
      </c>
      <c r="F52" s="15" t="s">
        <v>9</v>
      </c>
      <c r="G52" s="16"/>
      <c r="H52" s="14"/>
    </row>
    <row r="53" spans="1:8" x14ac:dyDescent="0.25">
      <c r="A53" s="287">
        <v>46106</v>
      </c>
      <c r="B53" s="321" t="s">
        <v>5</v>
      </c>
      <c r="C53" s="17" t="s">
        <v>6</v>
      </c>
      <c r="D53" s="265">
        <v>9</v>
      </c>
      <c r="E53" s="98" t="s">
        <v>88</v>
      </c>
      <c r="F53" s="15">
        <v>25</v>
      </c>
      <c r="G53" s="16"/>
      <c r="H53" s="14"/>
    </row>
    <row r="54" spans="1:8" x14ac:dyDescent="0.25">
      <c r="A54" s="288"/>
      <c r="B54" s="297"/>
      <c r="C54" s="17" t="s">
        <v>6</v>
      </c>
      <c r="D54" s="263"/>
      <c r="E54" s="143" t="s">
        <v>14</v>
      </c>
      <c r="F54" s="15">
        <v>10</v>
      </c>
      <c r="G54" s="16"/>
      <c r="H54" s="14"/>
    </row>
    <row r="55" spans="1:8" x14ac:dyDescent="0.25">
      <c r="A55" s="289"/>
      <c r="B55" s="298"/>
      <c r="C55" s="17" t="s">
        <v>6</v>
      </c>
      <c r="D55" s="264"/>
      <c r="E55" s="143" t="s">
        <v>92</v>
      </c>
      <c r="F55" s="15">
        <v>20</v>
      </c>
      <c r="G55" s="16"/>
      <c r="H55" s="14"/>
    </row>
    <row r="56" spans="1:8" x14ac:dyDescent="0.25">
      <c r="A56" s="287">
        <v>46106</v>
      </c>
      <c r="B56" s="321" t="s">
        <v>5</v>
      </c>
      <c r="C56" s="17" t="s">
        <v>13</v>
      </c>
      <c r="D56" s="265">
        <v>13</v>
      </c>
      <c r="E56" s="143" t="s">
        <v>89</v>
      </c>
      <c r="F56" s="15">
        <v>43</v>
      </c>
      <c r="G56" s="16"/>
      <c r="H56" s="14"/>
    </row>
    <row r="57" spans="1:8" x14ac:dyDescent="0.25">
      <c r="A57" s="288"/>
      <c r="B57" s="297"/>
      <c r="C57" s="17" t="s">
        <v>13</v>
      </c>
      <c r="D57" s="263"/>
      <c r="E57" s="143" t="s">
        <v>456</v>
      </c>
      <c r="F57" s="15">
        <v>99</v>
      </c>
      <c r="G57" s="16"/>
      <c r="H57" s="14"/>
    </row>
    <row r="58" spans="1:8" ht="31.5" x14ac:dyDescent="0.25">
      <c r="A58" s="289"/>
      <c r="B58" s="298"/>
      <c r="C58" s="17" t="s">
        <v>13</v>
      </c>
      <c r="D58" s="264"/>
      <c r="E58" s="143" t="s">
        <v>283</v>
      </c>
      <c r="F58" s="15">
        <v>250</v>
      </c>
      <c r="G58" s="16"/>
      <c r="H58" s="14" t="s">
        <v>11</v>
      </c>
    </row>
    <row r="59" spans="1:8" x14ac:dyDescent="0.25">
      <c r="A59" s="18">
        <v>46106</v>
      </c>
      <c r="B59" s="83" t="s">
        <v>5</v>
      </c>
      <c r="C59" s="21" t="s">
        <v>7</v>
      </c>
      <c r="D59" s="248">
        <v>3</v>
      </c>
      <c r="E59" s="143" t="s">
        <v>456</v>
      </c>
      <c r="F59" s="15">
        <v>90</v>
      </c>
      <c r="G59" s="16"/>
      <c r="H59" s="14"/>
    </row>
    <row r="60" spans="1:8" ht="31.5" x14ac:dyDescent="0.25">
      <c r="A60" s="287">
        <v>46107</v>
      </c>
      <c r="B60" s="321" t="s">
        <v>5</v>
      </c>
      <c r="C60" s="17" t="s">
        <v>7</v>
      </c>
      <c r="D60" s="265">
        <v>4</v>
      </c>
      <c r="E60" s="143" t="s">
        <v>15</v>
      </c>
      <c r="F60" s="15">
        <v>48</v>
      </c>
      <c r="G60" s="16" t="s">
        <v>163</v>
      </c>
      <c r="H60" s="14" t="s">
        <v>11</v>
      </c>
    </row>
    <row r="61" spans="1:8" x14ac:dyDescent="0.25">
      <c r="A61" s="289"/>
      <c r="B61" s="298"/>
      <c r="C61" s="17" t="s">
        <v>7</v>
      </c>
      <c r="D61" s="264"/>
      <c r="E61" s="143" t="s">
        <v>16</v>
      </c>
      <c r="F61" s="15">
        <v>96</v>
      </c>
      <c r="G61" s="16"/>
      <c r="H61" s="14"/>
    </row>
    <row r="62" spans="1:8" x14ac:dyDescent="0.25">
      <c r="A62" s="18">
        <v>46107</v>
      </c>
      <c r="B62" s="83" t="s">
        <v>5</v>
      </c>
      <c r="C62" s="21" t="s">
        <v>7</v>
      </c>
      <c r="D62" s="248">
        <v>4</v>
      </c>
      <c r="E62" s="143" t="s">
        <v>90</v>
      </c>
      <c r="F62" s="15">
        <v>30</v>
      </c>
      <c r="G62" s="16">
        <v>101</v>
      </c>
      <c r="H62" s="14"/>
    </row>
    <row r="63" spans="1:8" x14ac:dyDescent="0.25">
      <c r="A63" s="18">
        <v>46107</v>
      </c>
      <c r="B63" s="83" t="s">
        <v>5</v>
      </c>
      <c r="C63" s="19" t="s">
        <v>6</v>
      </c>
      <c r="D63" s="248">
        <v>3</v>
      </c>
      <c r="E63" s="143" t="s">
        <v>456</v>
      </c>
      <c r="F63" s="15">
        <v>20</v>
      </c>
      <c r="G63" s="16">
        <v>119</v>
      </c>
      <c r="H63" s="14"/>
    </row>
    <row r="64" spans="1:8" x14ac:dyDescent="0.25">
      <c r="A64" s="18">
        <v>46107</v>
      </c>
      <c r="B64" s="83" t="s">
        <v>5</v>
      </c>
      <c r="C64" s="19" t="s">
        <v>13</v>
      </c>
      <c r="D64" s="248">
        <v>4</v>
      </c>
      <c r="E64" s="143" t="s">
        <v>283</v>
      </c>
      <c r="F64" s="15">
        <v>30</v>
      </c>
      <c r="G64" s="16" t="s">
        <v>165</v>
      </c>
      <c r="H64" s="14"/>
    </row>
    <row r="65" spans="1:8" x14ac:dyDescent="0.25">
      <c r="A65" s="18">
        <v>46107</v>
      </c>
      <c r="B65" s="83" t="s">
        <v>5</v>
      </c>
      <c r="C65" s="19" t="s">
        <v>6</v>
      </c>
      <c r="D65" s="248">
        <v>3</v>
      </c>
      <c r="E65" s="98" t="s">
        <v>88</v>
      </c>
      <c r="F65" s="15">
        <v>15</v>
      </c>
      <c r="G65" s="16">
        <v>101</v>
      </c>
      <c r="H65" s="14"/>
    </row>
    <row r="66" spans="1:8" x14ac:dyDescent="0.25">
      <c r="A66" s="18">
        <v>46107</v>
      </c>
      <c r="B66" s="83" t="s">
        <v>5</v>
      </c>
      <c r="C66" s="19" t="s">
        <v>6</v>
      </c>
      <c r="D66" s="248">
        <v>2</v>
      </c>
      <c r="E66" s="98" t="s">
        <v>229</v>
      </c>
      <c r="F66" s="15" t="s">
        <v>9</v>
      </c>
      <c r="G66" s="16"/>
      <c r="H66" s="14"/>
    </row>
    <row r="67" spans="1:8" x14ac:dyDescent="0.25">
      <c r="A67" s="18">
        <v>46108</v>
      </c>
      <c r="B67" s="83" t="s">
        <v>5</v>
      </c>
      <c r="C67" s="19" t="s">
        <v>6</v>
      </c>
      <c r="D67" s="248">
        <v>4</v>
      </c>
      <c r="E67" s="143" t="s">
        <v>456</v>
      </c>
      <c r="F67" s="15">
        <v>54</v>
      </c>
      <c r="G67" s="16" t="s">
        <v>166</v>
      </c>
      <c r="H67" s="14"/>
    </row>
    <row r="68" spans="1:8" x14ac:dyDescent="0.25">
      <c r="A68" s="18">
        <v>46108</v>
      </c>
      <c r="B68" s="83" t="s">
        <v>5</v>
      </c>
      <c r="C68" s="19" t="s">
        <v>13</v>
      </c>
      <c r="D68" s="248">
        <v>4</v>
      </c>
      <c r="E68" s="143" t="s">
        <v>283</v>
      </c>
      <c r="F68" s="15">
        <v>58</v>
      </c>
      <c r="G68" s="16" t="s">
        <v>165</v>
      </c>
      <c r="H68" s="14"/>
    </row>
    <row r="69" spans="1:8" x14ac:dyDescent="0.25">
      <c r="A69" s="18">
        <v>46108</v>
      </c>
      <c r="B69" s="83" t="s">
        <v>5</v>
      </c>
      <c r="C69" s="19" t="s">
        <v>6</v>
      </c>
      <c r="D69" s="248">
        <v>3</v>
      </c>
      <c r="E69" s="143" t="s">
        <v>456</v>
      </c>
      <c r="F69" s="15">
        <v>20</v>
      </c>
      <c r="G69" s="16">
        <v>118</v>
      </c>
      <c r="H69" s="14"/>
    </row>
    <row r="70" spans="1:8" x14ac:dyDescent="0.25">
      <c r="A70" s="18">
        <v>46108</v>
      </c>
      <c r="B70" s="83" t="s">
        <v>5</v>
      </c>
      <c r="C70" s="19" t="s">
        <v>6</v>
      </c>
      <c r="D70" s="248">
        <v>2</v>
      </c>
      <c r="E70" s="154" t="s">
        <v>280</v>
      </c>
      <c r="F70" s="15">
        <v>20</v>
      </c>
      <c r="G70" s="16"/>
      <c r="H70" s="14" t="s">
        <v>98</v>
      </c>
    </row>
    <row r="71" spans="1:8" x14ac:dyDescent="0.25">
      <c r="A71" s="18">
        <v>46108</v>
      </c>
      <c r="B71" s="83" t="s">
        <v>5</v>
      </c>
      <c r="C71" s="21" t="s">
        <v>7</v>
      </c>
      <c r="D71" s="248">
        <v>5</v>
      </c>
      <c r="E71" s="143" t="s">
        <v>456</v>
      </c>
      <c r="F71" s="15">
        <v>40</v>
      </c>
      <c r="G71" s="16">
        <v>111</v>
      </c>
      <c r="H71" s="14"/>
    </row>
    <row r="72" spans="1:8" x14ac:dyDescent="0.25">
      <c r="A72" s="18">
        <v>46108</v>
      </c>
      <c r="B72" s="83" t="s">
        <v>5</v>
      </c>
      <c r="C72" s="19" t="s">
        <v>6</v>
      </c>
      <c r="D72" s="248">
        <v>5</v>
      </c>
      <c r="E72" s="98" t="s">
        <v>58</v>
      </c>
      <c r="F72" s="15">
        <v>24</v>
      </c>
      <c r="G72" s="16" t="s">
        <v>165</v>
      </c>
      <c r="H72" s="14"/>
    </row>
    <row r="73" spans="1:8" x14ac:dyDescent="0.25">
      <c r="A73" s="18">
        <v>46108</v>
      </c>
      <c r="B73" s="83" t="s">
        <v>5</v>
      </c>
      <c r="C73" s="19" t="s">
        <v>6</v>
      </c>
      <c r="D73" s="248">
        <v>2</v>
      </c>
      <c r="E73" s="98" t="s">
        <v>229</v>
      </c>
      <c r="F73" s="15" t="s">
        <v>9</v>
      </c>
      <c r="G73" s="16"/>
      <c r="H73" s="14"/>
    </row>
    <row r="74" spans="1:8" x14ac:dyDescent="0.25">
      <c r="A74" s="18">
        <v>46109</v>
      </c>
      <c r="B74" s="83" t="s">
        <v>5</v>
      </c>
      <c r="C74" s="19" t="s">
        <v>6</v>
      </c>
      <c r="D74" s="248">
        <v>6</v>
      </c>
      <c r="E74" s="143" t="s">
        <v>90</v>
      </c>
      <c r="F74" s="15">
        <v>50</v>
      </c>
      <c r="G74" s="16" t="s">
        <v>166</v>
      </c>
      <c r="H74" s="14"/>
    </row>
    <row r="75" spans="1:8" x14ac:dyDescent="0.25">
      <c r="A75" s="18">
        <v>46109</v>
      </c>
      <c r="B75" s="83" t="s">
        <v>5</v>
      </c>
      <c r="C75" s="19" t="s">
        <v>6</v>
      </c>
      <c r="D75" s="248">
        <v>4</v>
      </c>
      <c r="E75" s="143" t="s">
        <v>90</v>
      </c>
      <c r="F75" s="15">
        <v>15</v>
      </c>
      <c r="G75" s="16" t="s">
        <v>182</v>
      </c>
      <c r="H75" s="14"/>
    </row>
    <row r="76" spans="1:8" x14ac:dyDescent="0.25">
      <c r="A76" s="18">
        <v>46109</v>
      </c>
      <c r="B76" s="83" t="s">
        <v>5</v>
      </c>
      <c r="C76" s="19" t="s">
        <v>6</v>
      </c>
      <c r="D76" s="248">
        <v>6</v>
      </c>
      <c r="E76" s="98" t="s">
        <v>58</v>
      </c>
      <c r="F76" s="15">
        <v>64</v>
      </c>
      <c r="G76" s="16">
        <v>116</v>
      </c>
      <c r="H76" s="14"/>
    </row>
    <row r="77" spans="1:8" x14ac:dyDescent="0.25">
      <c r="A77" s="287">
        <v>46109</v>
      </c>
      <c r="B77" s="321" t="s">
        <v>5</v>
      </c>
      <c r="C77" s="17" t="s">
        <v>6</v>
      </c>
      <c r="D77" s="265">
        <v>5</v>
      </c>
      <c r="E77" s="143" t="s">
        <v>15</v>
      </c>
      <c r="F77" s="15">
        <v>50</v>
      </c>
      <c r="G77" s="16" t="s">
        <v>164</v>
      </c>
      <c r="H77" s="14"/>
    </row>
    <row r="78" spans="1:8" x14ac:dyDescent="0.25">
      <c r="A78" s="289"/>
      <c r="B78" s="298"/>
      <c r="C78" s="17" t="s">
        <v>6</v>
      </c>
      <c r="D78" s="264"/>
      <c r="E78" s="143" t="s">
        <v>16</v>
      </c>
      <c r="F78" s="15">
        <v>96</v>
      </c>
      <c r="G78" s="16"/>
      <c r="H78" s="14"/>
    </row>
    <row r="79" spans="1:8" x14ac:dyDescent="0.25">
      <c r="A79" s="287">
        <v>46109</v>
      </c>
      <c r="B79" s="321" t="s">
        <v>5</v>
      </c>
      <c r="C79" s="17" t="s">
        <v>6</v>
      </c>
      <c r="D79" s="265">
        <v>5</v>
      </c>
      <c r="E79" s="143" t="s">
        <v>15</v>
      </c>
      <c r="F79" s="15">
        <v>20</v>
      </c>
      <c r="G79" s="16" t="s">
        <v>189</v>
      </c>
      <c r="H79" s="14"/>
    </row>
    <row r="80" spans="1:8" x14ac:dyDescent="0.25">
      <c r="A80" s="289"/>
      <c r="B80" s="298"/>
      <c r="C80" s="17" t="s">
        <v>6</v>
      </c>
      <c r="D80" s="264"/>
      <c r="E80" s="143" t="s">
        <v>16</v>
      </c>
      <c r="F80" s="15">
        <v>40</v>
      </c>
      <c r="G80" s="16"/>
      <c r="H80" s="14"/>
    </row>
    <row r="81" spans="1:8" x14ac:dyDescent="0.25">
      <c r="A81" s="287">
        <v>46109</v>
      </c>
      <c r="B81" s="321" t="s">
        <v>5</v>
      </c>
      <c r="C81" s="17" t="s">
        <v>6</v>
      </c>
      <c r="D81" s="265">
        <v>3</v>
      </c>
      <c r="E81" s="143" t="s">
        <v>17</v>
      </c>
      <c r="F81" s="15">
        <v>12</v>
      </c>
      <c r="G81" s="16" t="s">
        <v>190</v>
      </c>
      <c r="H81" s="14"/>
    </row>
    <row r="82" spans="1:8" x14ac:dyDescent="0.25">
      <c r="A82" s="289"/>
      <c r="B82" s="298"/>
      <c r="C82" s="17" t="s">
        <v>6</v>
      </c>
      <c r="D82" s="264"/>
      <c r="E82" s="143" t="s">
        <v>16</v>
      </c>
      <c r="F82" s="15">
        <v>24</v>
      </c>
      <c r="G82" s="16"/>
      <c r="H82" s="14"/>
    </row>
    <row r="83" spans="1:8" x14ac:dyDescent="0.25">
      <c r="A83" s="18">
        <v>46109</v>
      </c>
      <c r="B83" s="83" t="s">
        <v>5</v>
      </c>
      <c r="C83" s="17" t="s">
        <v>6</v>
      </c>
      <c r="D83" s="248">
        <v>2</v>
      </c>
      <c r="E83" s="98" t="s">
        <v>229</v>
      </c>
      <c r="F83" s="15" t="s">
        <v>9</v>
      </c>
      <c r="G83" s="16"/>
      <c r="H83" s="14"/>
    </row>
    <row r="84" spans="1:8" x14ac:dyDescent="0.25">
      <c r="A84" s="18">
        <v>46110</v>
      </c>
      <c r="B84" s="83" t="s">
        <v>5</v>
      </c>
      <c r="C84" s="19" t="s">
        <v>6</v>
      </c>
      <c r="D84" s="248">
        <v>3</v>
      </c>
      <c r="E84" s="143" t="s">
        <v>90</v>
      </c>
      <c r="F84" s="15">
        <v>17</v>
      </c>
      <c r="G84" s="16" t="s">
        <v>166</v>
      </c>
      <c r="H84" s="14"/>
    </row>
    <row r="85" spans="1:8" x14ac:dyDescent="0.25">
      <c r="A85" s="287">
        <v>46110</v>
      </c>
      <c r="B85" s="321" t="s">
        <v>5</v>
      </c>
      <c r="C85" s="17" t="s">
        <v>6</v>
      </c>
      <c r="D85" s="265">
        <v>5</v>
      </c>
      <c r="E85" s="143" t="s">
        <v>90</v>
      </c>
      <c r="F85" s="15">
        <v>17</v>
      </c>
      <c r="G85" s="16" t="s">
        <v>152</v>
      </c>
      <c r="H85" s="14"/>
    </row>
    <row r="86" spans="1:8" x14ac:dyDescent="0.25">
      <c r="A86" s="289"/>
      <c r="B86" s="298"/>
      <c r="C86" s="17" t="s">
        <v>6</v>
      </c>
      <c r="D86" s="264"/>
      <c r="E86" s="143" t="s">
        <v>456</v>
      </c>
      <c r="F86" s="15">
        <v>34</v>
      </c>
      <c r="G86" s="16"/>
      <c r="H86" s="14"/>
    </row>
    <row r="87" spans="1:8" x14ac:dyDescent="0.25">
      <c r="A87" s="287">
        <v>46110</v>
      </c>
      <c r="B87" s="321" t="s">
        <v>5</v>
      </c>
      <c r="C87" s="17" t="s">
        <v>6</v>
      </c>
      <c r="D87" s="265">
        <v>5</v>
      </c>
      <c r="E87" s="143" t="s">
        <v>90</v>
      </c>
      <c r="F87" s="15">
        <v>18</v>
      </c>
      <c r="G87" s="16">
        <v>116</v>
      </c>
      <c r="H87" s="14"/>
    </row>
    <row r="88" spans="1:8" x14ac:dyDescent="0.25">
      <c r="A88" s="289"/>
      <c r="B88" s="298"/>
      <c r="C88" s="17" t="s">
        <v>6</v>
      </c>
      <c r="D88" s="264"/>
      <c r="E88" s="143" t="s">
        <v>456</v>
      </c>
      <c r="F88" s="15">
        <v>32</v>
      </c>
      <c r="G88" s="16"/>
      <c r="H88" s="14"/>
    </row>
    <row r="89" spans="1:8" x14ac:dyDescent="0.25">
      <c r="A89" s="18">
        <v>46110</v>
      </c>
      <c r="B89" s="83" t="s">
        <v>5</v>
      </c>
      <c r="C89" s="19" t="s">
        <v>6</v>
      </c>
      <c r="D89" s="248">
        <v>6</v>
      </c>
      <c r="E89" s="98" t="s">
        <v>58</v>
      </c>
      <c r="F89" s="15">
        <v>60</v>
      </c>
      <c r="G89" s="16" t="s">
        <v>165</v>
      </c>
      <c r="H89" s="14"/>
    </row>
    <row r="90" spans="1:8" x14ac:dyDescent="0.25">
      <c r="A90" s="287">
        <v>46110</v>
      </c>
      <c r="B90" s="321" t="s">
        <v>5</v>
      </c>
      <c r="C90" s="17" t="s">
        <v>6</v>
      </c>
      <c r="D90" s="265">
        <v>6</v>
      </c>
      <c r="E90" s="143" t="s">
        <v>90</v>
      </c>
      <c r="F90" s="15">
        <v>27</v>
      </c>
      <c r="G90" s="16" t="s">
        <v>189</v>
      </c>
      <c r="H90" s="14"/>
    </row>
    <row r="91" spans="1:8" x14ac:dyDescent="0.25">
      <c r="A91" s="289"/>
      <c r="B91" s="298"/>
      <c r="C91" s="17" t="s">
        <v>6</v>
      </c>
      <c r="D91" s="264"/>
      <c r="E91" s="143" t="s">
        <v>456</v>
      </c>
      <c r="F91" s="15">
        <v>53</v>
      </c>
      <c r="G91" s="16"/>
      <c r="H91" s="14"/>
    </row>
    <row r="92" spans="1:8" x14ac:dyDescent="0.25">
      <c r="A92" s="287">
        <v>46110</v>
      </c>
      <c r="B92" s="321" t="s">
        <v>5</v>
      </c>
      <c r="C92" s="17" t="s">
        <v>6</v>
      </c>
      <c r="D92" s="265">
        <v>5</v>
      </c>
      <c r="E92" s="143" t="s">
        <v>90</v>
      </c>
      <c r="F92" s="15">
        <v>6</v>
      </c>
      <c r="G92" s="16">
        <v>112</v>
      </c>
      <c r="H92" s="14"/>
    </row>
    <row r="93" spans="1:8" x14ac:dyDescent="0.25">
      <c r="A93" s="288"/>
      <c r="B93" s="297"/>
      <c r="C93" s="17" t="s">
        <v>6</v>
      </c>
      <c r="D93" s="263"/>
      <c r="E93" s="143" t="s">
        <v>456</v>
      </c>
      <c r="F93" s="15">
        <v>12</v>
      </c>
      <c r="G93" s="16"/>
      <c r="H93" s="14"/>
    </row>
    <row r="94" spans="1:8" x14ac:dyDescent="0.25">
      <c r="A94" s="289"/>
      <c r="B94" s="298"/>
      <c r="C94" s="17" t="s">
        <v>6</v>
      </c>
      <c r="D94" s="264"/>
      <c r="E94" s="143" t="s">
        <v>82</v>
      </c>
      <c r="F94" s="15">
        <v>5</v>
      </c>
      <c r="G94" s="16"/>
      <c r="H94" s="14"/>
    </row>
    <row r="95" spans="1:8" x14ac:dyDescent="0.25">
      <c r="A95" s="18">
        <v>46110</v>
      </c>
      <c r="B95" s="83" t="s">
        <v>5</v>
      </c>
      <c r="C95" s="17" t="s">
        <v>6</v>
      </c>
      <c r="D95" s="248">
        <v>3</v>
      </c>
      <c r="E95" s="98" t="s">
        <v>229</v>
      </c>
      <c r="F95" s="15" t="s">
        <v>9</v>
      </c>
      <c r="G95" s="16"/>
      <c r="H95" s="14"/>
    </row>
    <row r="96" spans="1:8" x14ac:dyDescent="0.25">
      <c r="A96" s="287">
        <v>46111</v>
      </c>
      <c r="B96" s="321" t="s">
        <v>5</v>
      </c>
      <c r="C96" s="17" t="s">
        <v>6</v>
      </c>
      <c r="D96" s="265">
        <v>5</v>
      </c>
      <c r="E96" s="98" t="s">
        <v>58</v>
      </c>
      <c r="F96" s="15">
        <v>15</v>
      </c>
      <c r="G96" s="16" t="s">
        <v>165</v>
      </c>
      <c r="H96" s="14"/>
    </row>
    <row r="97" spans="1:8" x14ac:dyDescent="0.25">
      <c r="A97" s="289"/>
      <c r="B97" s="298"/>
      <c r="C97" s="17" t="s">
        <v>6</v>
      </c>
      <c r="D97" s="264"/>
      <c r="E97" s="96" t="s">
        <v>206</v>
      </c>
      <c r="F97" s="15">
        <v>25</v>
      </c>
      <c r="G97" s="16"/>
      <c r="H97" s="14"/>
    </row>
    <row r="98" spans="1:8" x14ac:dyDescent="0.25">
      <c r="A98" s="18">
        <v>46111</v>
      </c>
      <c r="B98" s="83" t="s">
        <v>5</v>
      </c>
      <c r="C98" s="19" t="s">
        <v>6</v>
      </c>
      <c r="D98" s="248">
        <v>3</v>
      </c>
      <c r="E98" s="143" t="s">
        <v>90</v>
      </c>
      <c r="F98" s="15">
        <v>18</v>
      </c>
      <c r="G98" s="16">
        <v>116</v>
      </c>
      <c r="H98" s="14"/>
    </row>
    <row r="99" spans="1:8" x14ac:dyDescent="0.25">
      <c r="A99" s="18">
        <v>46111</v>
      </c>
      <c r="B99" s="83" t="s">
        <v>5</v>
      </c>
      <c r="C99" s="19" t="s">
        <v>6</v>
      </c>
      <c r="D99" s="248">
        <v>1</v>
      </c>
      <c r="E99" s="153" t="s">
        <v>51</v>
      </c>
      <c r="F99" s="15">
        <v>12</v>
      </c>
      <c r="G99" s="16"/>
      <c r="H99" s="14" t="s">
        <v>18</v>
      </c>
    </row>
    <row r="100" spans="1:8" x14ac:dyDescent="0.25">
      <c r="A100" s="287">
        <v>46111</v>
      </c>
      <c r="B100" s="321" t="s">
        <v>5</v>
      </c>
      <c r="C100" s="17" t="s">
        <v>13</v>
      </c>
      <c r="D100" s="265">
        <v>6</v>
      </c>
      <c r="E100" s="143" t="s">
        <v>456</v>
      </c>
      <c r="F100" s="15">
        <v>84</v>
      </c>
      <c r="G100" s="16" t="s">
        <v>167</v>
      </c>
      <c r="H100" s="14"/>
    </row>
    <row r="101" spans="1:8" x14ac:dyDescent="0.25">
      <c r="A101" s="289"/>
      <c r="B101" s="298"/>
      <c r="C101" s="17" t="s">
        <v>13</v>
      </c>
      <c r="D101" s="264"/>
      <c r="E101" s="143" t="s">
        <v>90</v>
      </c>
      <c r="F101" s="15">
        <v>42</v>
      </c>
      <c r="G101" s="16"/>
      <c r="H101" s="14"/>
    </row>
    <row r="102" spans="1:8" x14ac:dyDescent="0.25">
      <c r="A102" s="287">
        <v>46111</v>
      </c>
      <c r="B102" s="321" t="s">
        <v>5</v>
      </c>
      <c r="C102" s="17" t="s">
        <v>13</v>
      </c>
      <c r="D102" s="265">
        <v>6</v>
      </c>
      <c r="E102" s="143" t="s">
        <v>456</v>
      </c>
      <c r="F102" s="15">
        <v>76</v>
      </c>
      <c r="G102" s="16" t="s">
        <v>182</v>
      </c>
      <c r="H102" s="14"/>
    </row>
    <row r="103" spans="1:8" x14ac:dyDescent="0.25">
      <c r="A103" s="289"/>
      <c r="B103" s="298"/>
      <c r="C103" s="17" t="s">
        <v>13</v>
      </c>
      <c r="D103" s="264"/>
      <c r="E103" s="143" t="s">
        <v>90</v>
      </c>
      <c r="F103" s="15">
        <v>42</v>
      </c>
      <c r="G103" s="16"/>
      <c r="H103" s="14"/>
    </row>
    <row r="104" spans="1:8" x14ac:dyDescent="0.25">
      <c r="A104" s="287">
        <v>46111</v>
      </c>
      <c r="B104" s="321" t="s">
        <v>5</v>
      </c>
      <c r="C104" s="17" t="s">
        <v>13</v>
      </c>
      <c r="D104" s="265">
        <v>6</v>
      </c>
      <c r="E104" s="143" t="s">
        <v>456</v>
      </c>
      <c r="F104" s="15">
        <v>68</v>
      </c>
      <c r="G104" s="16" t="s">
        <v>19</v>
      </c>
      <c r="H104" s="14"/>
    </row>
    <row r="105" spans="1:8" x14ac:dyDescent="0.25">
      <c r="A105" s="289"/>
      <c r="B105" s="298"/>
      <c r="C105" s="17" t="s">
        <v>13</v>
      </c>
      <c r="D105" s="264"/>
      <c r="E105" s="143" t="s">
        <v>90</v>
      </c>
      <c r="F105" s="15">
        <v>18</v>
      </c>
      <c r="G105" s="16"/>
      <c r="H105" s="14"/>
    </row>
    <row r="106" spans="1:8" ht="31.5" x14ac:dyDescent="0.25">
      <c r="A106" s="18">
        <v>46111</v>
      </c>
      <c r="B106" s="83" t="s">
        <v>5</v>
      </c>
      <c r="C106" s="21" t="s">
        <v>7</v>
      </c>
      <c r="D106" s="248">
        <v>5</v>
      </c>
      <c r="E106" s="143" t="s">
        <v>283</v>
      </c>
      <c r="F106" s="15">
        <v>20</v>
      </c>
      <c r="G106" s="16" t="s">
        <v>165</v>
      </c>
      <c r="H106" s="14" t="s">
        <v>20</v>
      </c>
    </row>
    <row r="107" spans="1:8" x14ac:dyDescent="0.25">
      <c r="A107" s="18">
        <v>46111</v>
      </c>
      <c r="B107" s="83" t="s">
        <v>5</v>
      </c>
      <c r="C107" s="19" t="s">
        <v>6</v>
      </c>
      <c r="D107" s="248">
        <v>2</v>
      </c>
      <c r="E107" s="96" t="s">
        <v>21</v>
      </c>
      <c r="F107" s="15" t="s">
        <v>9</v>
      </c>
      <c r="G107" s="16" t="s">
        <v>22</v>
      </c>
      <c r="H107" s="14"/>
    </row>
    <row r="108" spans="1:8" x14ac:dyDescent="0.25">
      <c r="A108" s="18">
        <v>46111</v>
      </c>
      <c r="B108" s="83" t="s">
        <v>5</v>
      </c>
      <c r="C108" s="19" t="s">
        <v>6</v>
      </c>
      <c r="D108" s="248">
        <v>2</v>
      </c>
      <c r="E108" s="98" t="s">
        <v>229</v>
      </c>
      <c r="F108" s="15" t="s">
        <v>9</v>
      </c>
      <c r="G108" s="16"/>
      <c r="H108" s="14"/>
    </row>
    <row r="109" spans="1:8" x14ac:dyDescent="0.25">
      <c r="A109" s="287">
        <v>46112</v>
      </c>
      <c r="B109" s="321" t="s">
        <v>5</v>
      </c>
      <c r="C109" s="17" t="s">
        <v>6</v>
      </c>
      <c r="D109" s="265">
        <v>8</v>
      </c>
      <c r="E109" s="143" t="s">
        <v>283</v>
      </c>
      <c r="F109" s="15">
        <v>8</v>
      </c>
      <c r="G109" s="16" t="s">
        <v>167</v>
      </c>
      <c r="H109" s="14"/>
    </row>
    <row r="110" spans="1:8" x14ac:dyDescent="0.25">
      <c r="A110" s="288"/>
      <c r="B110" s="297"/>
      <c r="C110" s="17" t="s">
        <v>6</v>
      </c>
      <c r="D110" s="263"/>
      <c r="E110" s="98" t="s">
        <v>87</v>
      </c>
      <c r="F110" s="15">
        <v>5</v>
      </c>
      <c r="G110" s="16"/>
      <c r="H110" s="14"/>
    </row>
    <row r="111" spans="1:8" x14ac:dyDescent="0.25">
      <c r="A111" s="288"/>
      <c r="B111" s="297"/>
      <c r="C111" s="17" t="s">
        <v>6</v>
      </c>
      <c r="D111" s="263"/>
      <c r="E111" s="98" t="s">
        <v>73</v>
      </c>
      <c r="F111" s="15">
        <v>10</v>
      </c>
      <c r="G111" s="16"/>
      <c r="H111" s="14"/>
    </row>
    <row r="112" spans="1:8" x14ac:dyDescent="0.25">
      <c r="A112" s="289"/>
      <c r="B112" s="298"/>
      <c r="C112" s="17" t="s">
        <v>6</v>
      </c>
      <c r="D112" s="264"/>
      <c r="E112" s="143" t="s">
        <v>23</v>
      </c>
      <c r="F112" s="15">
        <v>6</v>
      </c>
      <c r="G112" s="16"/>
      <c r="H112" s="14"/>
    </row>
    <row r="113" spans="1:8" x14ac:dyDescent="0.25">
      <c r="A113" s="18">
        <v>46112</v>
      </c>
      <c r="B113" s="83" t="s">
        <v>5</v>
      </c>
      <c r="C113" s="19" t="s">
        <v>6</v>
      </c>
      <c r="D113" s="248">
        <v>2</v>
      </c>
      <c r="E113" s="143" t="s">
        <v>84</v>
      </c>
      <c r="F113" s="15">
        <v>17</v>
      </c>
      <c r="G113" s="16">
        <v>111</v>
      </c>
      <c r="H113" s="14"/>
    </row>
    <row r="114" spans="1:8" x14ac:dyDescent="0.25">
      <c r="A114" s="287">
        <v>46112</v>
      </c>
      <c r="B114" s="321" t="s">
        <v>5</v>
      </c>
      <c r="C114" s="17" t="s">
        <v>6</v>
      </c>
      <c r="D114" s="265">
        <v>2</v>
      </c>
      <c r="E114" s="98" t="s">
        <v>87</v>
      </c>
      <c r="F114" s="15">
        <v>5</v>
      </c>
      <c r="G114" s="16">
        <v>111</v>
      </c>
      <c r="H114" s="14"/>
    </row>
    <row r="115" spans="1:8" x14ac:dyDescent="0.25">
      <c r="A115" s="288"/>
      <c r="B115" s="297"/>
      <c r="C115" s="17" t="s">
        <v>6</v>
      </c>
      <c r="D115" s="263"/>
      <c r="E115" s="98" t="s">
        <v>73</v>
      </c>
      <c r="F115" s="15">
        <v>5</v>
      </c>
      <c r="G115" s="16"/>
      <c r="H115" s="14"/>
    </row>
    <row r="116" spans="1:8" x14ac:dyDescent="0.25">
      <c r="A116" s="289"/>
      <c r="B116" s="298"/>
      <c r="C116" s="17" t="s">
        <v>6</v>
      </c>
      <c r="D116" s="264"/>
      <c r="E116" s="143" t="s">
        <v>283</v>
      </c>
      <c r="F116" s="15">
        <v>8</v>
      </c>
      <c r="G116" s="16"/>
      <c r="H116" s="14"/>
    </row>
    <row r="117" spans="1:8" x14ac:dyDescent="0.25">
      <c r="A117" s="287">
        <v>46112</v>
      </c>
      <c r="B117" s="321" t="s">
        <v>5</v>
      </c>
      <c r="C117" s="17" t="s">
        <v>6</v>
      </c>
      <c r="D117" s="265">
        <v>2</v>
      </c>
      <c r="E117" s="143" t="s">
        <v>90</v>
      </c>
      <c r="F117" s="15">
        <v>12</v>
      </c>
      <c r="G117" s="16" t="s">
        <v>171</v>
      </c>
      <c r="H117" s="14"/>
    </row>
    <row r="118" spans="1:8" x14ac:dyDescent="0.25">
      <c r="A118" s="289"/>
      <c r="B118" s="298"/>
      <c r="C118" s="17" t="s">
        <v>6</v>
      </c>
      <c r="D118" s="264"/>
      <c r="E118" s="143" t="s">
        <v>456</v>
      </c>
      <c r="F118" s="15">
        <v>18</v>
      </c>
      <c r="G118" s="16"/>
      <c r="H118" s="14"/>
    </row>
    <row r="119" spans="1:8" x14ac:dyDescent="0.25">
      <c r="A119" s="287">
        <v>46112</v>
      </c>
      <c r="B119" s="321" t="s">
        <v>5</v>
      </c>
      <c r="C119" s="17" t="s">
        <v>6</v>
      </c>
      <c r="D119" s="265">
        <v>4</v>
      </c>
      <c r="E119" s="143" t="s">
        <v>24</v>
      </c>
      <c r="F119" s="15">
        <v>2</v>
      </c>
      <c r="G119" s="16" t="s">
        <v>165</v>
      </c>
      <c r="H119" s="14"/>
    </row>
    <row r="120" spans="1:8" x14ac:dyDescent="0.25">
      <c r="A120" s="288"/>
      <c r="B120" s="297"/>
      <c r="C120" s="17" t="s">
        <v>6</v>
      </c>
      <c r="D120" s="263"/>
      <c r="E120" s="143" t="s">
        <v>25</v>
      </c>
      <c r="F120" s="15">
        <v>5</v>
      </c>
      <c r="G120" s="16"/>
      <c r="H120" s="14"/>
    </row>
    <row r="121" spans="1:8" x14ac:dyDescent="0.25">
      <c r="A121" s="289"/>
      <c r="B121" s="298"/>
      <c r="C121" s="17" t="s">
        <v>6</v>
      </c>
      <c r="D121" s="264"/>
      <c r="E121" s="96" t="s">
        <v>206</v>
      </c>
      <c r="F121" s="15">
        <v>17</v>
      </c>
      <c r="G121" s="16"/>
      <c r="H121" s="14"/>
    </row>
    <row r="122" spans="1:8" x14ac:dyDescent="0.25">
      <c r="A122" s="287">
        <v>46112</v>
      </c>
      <c r="B122" s="321" t="s">
        <v>5</v>
      </c>
      <c r="C122" s="17" t="s">
        <v>13</v>
      </c>
      <c r="D122" s="265">
        <v>5</v>
      </c>
      <c r="E122" s="143" t="s">
        <v>456</v>
      </c>
      <c r="F122" s="15">
        <v>86</v>
      </c>
      <c r="G122" s="16" t="s">
        <v>166</v>
      </c>
      <c r="H122" s="14"/>
    </row>
    <row r="123" spans="1:8" x14ac:dyDescent="0.25">
      <c r="A123" s="289"/>
      <c r="B123" s="298"/>
      <c r="C123" s="17" t="s">
        <v>13</v>
      </c>
      <c r="D123" s="264"/>
      <c r="E123" s="143" t="s">
        <v>90</v>
      </c>
      <c r="F123" s="15">
        <v>42</v>
      </c>
      <c r="G123" s="16"/>
      <c r="H123" s="14"/>
    </row>
    <row r="124" spans="1:8" x14ac:dyDescent="0.25">
      <c r="A124" s="18">
        <v>46112</v>
      </c>
      <c r="B124" s="83" t="s">
        <v>5</v>
      </c>
      <c r="C124" s="21" t="s">
        <v>7</v>
      </c>
      <c r="D124" s="248">
        <v>3</v>
      </c>
      <c r="E124" s="143" t="s">
        <v>456</v>
      </c>
      <c r="F124" s="15">
        <v>32</v>
      </c>
      <c r="G124" s="16">
        <v>113</v>
      </c>
      <c r="H124" s="14"/>
    </row>
    <row r="125" spans="1:8" x14ac:dyDescent="0.25">
      <c r="A125" s="287">
        <v>46112</v>
      </c>
      <c r="B125" s="321" t="s">
        <v>5</v>
      </c>
      <c r="C125" s="17" t="s">
        <v>13</v>
      </c>
      <c r="D125" s="265">
        <v>3</v>
      </c>
      <c r="E125" s="143" t="s">
        <v>456</v>
      </c>
      <c r="F125" s="15">
        <v>12</v>
      </c>
      <c r="G125" s="16" t="s">
        <v>19</v>
      </c>
      <c r="H125" s="14"/>
    </row>
    <row r="126" spans="1:8" x14ac:dyDescent="0.25">
      <c r="A126" s="289"/>
      <c r="B126" s="298"/>
      <c r="C126" s="17" t="s">
        <v>13</v>
      </c>
      <c r="D126" s="264"/>
      <c r="E126" s="143" t="s">
        <v>90</v>
      </c>
      <c r="F126" s="15">
        <v>12</v>
      </c>
      <c r="G126" s="16"/>
      <c r="H126" s="14"/>
    </row>
    <row r="127" spans="1:8" x14ac:dyDescent="0.25">
      <c r="A127" s="18">
        <v>46112</v>
      </c>
      <c r="B127" s="83" t="s">
        <v>5</v>
      </c>
      <c r="C127" s="17" t="s">
        <v>13</v>
      </c>
      <c r="D127" s="248">
        <v>2</v>
      </c>
      <c r="E127" s="98" t="s">
        <v>229</v>
      </c>
      <c r="F127" s="15" t="s">
        <v>9</v>
      </c>
      <c r="G127" s="16"/>
      <c r="H127" s="14"/>
    </row>
    <row r="128" spans="1:8" x14ac:dyDescent="0.25">
      <c r="A128" s="18">
        <v>46113</v>
      </c>
      <c r="B128" s="83" t="s">
        <v>5</v>
      </c>
      <c r="C128" s="19" t="s">
        <v>6</v>
      </c>
      <c r="D128" s="248">
        <v>5</v>
      </c>
      <c r="E128" s="143" t="s">
        <v>23</v>
      </c>
      <c r="F128" s="15">
        <v>10</v>
      </c>
      <c r="G128" s="16" t="s">
        <v>167</v>
      </c>
      <c r="H128" s="14"/>
    </row>
    <row r="129" spans="1:8" x14ac:dyDescent="0.25">
      <c r="A129" s="287">
        <v>46113</v>
      </c>
      <c r="B129" s="321" t="s">
        <v>5</v>
      </c>
      <c r="C129" s="17" t="s">
        <v>6</v>
      </c>
      <c r="D129" s="265">
        <v>5</v>
      </c>
      <c r="E129" s="98" t="s">
        <v>87</v>
      </c>
      <c r="F129" s="15">
        <v>12</v>
      </c>
      <c r="G129" s="16"/>
      <c r="H129" s="14"/>
    </row>
    <row r="130" spans="1:8" x14ac:dyDescent="0.25">
      <c r="A130" s="289"/>
      <c r="B130" s="298"/>
      <c r="C130" s="17" t="s">
        <v>6</v>
      </c>
      <c r="D130" s="264"/>
      <c r="E130" s="98" t="s">
        <v>73</v>
      </c>
      <c r="F130" s="15">
        <v>3</v>
      </c>
      <c r="G130" s="16"/>
      <c r="H130" s="14"/>
    </row>
    <row r="131" spans="1:8" x14ac:dyDescent="0.25">
      <c r="A131" s="18">
        <v>46113</v>
      </c>
      <c r="B131" s="83" t="s">
        <v>5</v>
      </c>
      <c r="C131" s="19" t="s">
        <v>6</v>
      </c>
      <c r="D131" s="248">
        <v>4</v>
      </c>
      <c r="E131" s="143" t="s">
        <v>23</v>
      </c>
      <c r="F131" s="15">
        <v>13</v>
      </c>
      <c r="G131" s="16" t="s">
        <v>191</v>
      </c>
      <c r="H131" s="14"/>
    </row>
    <row r="132" spans="1:8" x14ac:dyDescent="0.25">
      <c r="A132" s="287">
        <v>46113</v>
      </c>
      <c r="B132" s="321" t="s">
        <v>5</v>
      </c>
      <c r="C132" s="17" t="s">
        <v>6</v>
      </c>
      <c r="D132" s="265">
        <v>3</v>
      </c>
      <c r="E132" s="143" t="s">
        <v>84</v>
      </c>
      <c r="F132" s="15">
        <v>3</v>
      </c>
      <c r="G132" s="16">
        <v>111</v>
      </c>
      <c r="H132" s="14"/>
    </row>
    <row r="133" spans="1:8" x14ac:dyDescent="0.25">
      <c r="A133" s="288"/>
      <c r="B133" s="297"/>
      <c r="C133" s="17" t="s">
        <v>6</v>
      </c>
      <c r="D133" s="263"/>
      <c r="E133" s="98" t="s">
        <v>87</v>
      </c>
      <c r="F133" s="15">
        <v>5</v>
      </c>
      <c r="G133" s="16">
        <v>111</v>
      </c>
      <c r="H133" s="14"/>
    </row>
    <row r="134" spans="1:8" x14ac:dyDescent="0.25">
      <c r="A134" s="289"/>
      <c r="B134" s="298"/>
      <c r="C134" s="17" t="s">
        <v>6</v>
      </c>
      <c r="D134" s="264"/>
      <c r="E134" s="98" t="s">
        <v>73</v>
      </c>
      <c r="F134" s="15">
        <v>5</v>
      </c>
      <c r="G134" s="16">
        <v>111</v>
      </c>
      <c r="H134" s="14"/>
    </row>
    <row r="135" spans="1:8" x14ac:dyDescent="0.25">
      <c r="A135" s="287">
        <v>46113</v>
      </c>
      <c r="B135" s="321" t="s">
        <v>5</v>
      </c>
      <c r="C135" s="17" t="s">
        <v>6</v>
      </c>
      <c r="D135" s="265">
        <v>4</v>
      </c>
      <c r="E135" s="143" t="s">
        <v>456</v>
      </c>
      <c r="F135" s="15">
        <v>43</v>
      </c>
      <c r="G135" s="16">
        <v>114</v>
      </c>
      <c r="H135" s="14"/>
    </row>
    <row r="136" spans="1:8" x14ac:dyDescent="0.25">
      <c r="A136" s="289"/>
      <c r="B136" s="298"/>
      <c r="C136" s="17" t="s">
        <v>6</v>
      </c>
      <c r="D136" s="264"/>
      <c r="E136" s="143" t="s">
        <v>89</v>
      </c>
      <c r="F136" s="15">
        <v>18</v>
      </c>
      <c r="G136" s="16">
        <v>114</v>
      </c>
      <c r="H136" s="14"/>
    </row>
    <row r="137" spans="1:8" x14ac:dyDescent="0.25">
      <c r="A137" s="287">
        <v>46113</v>
      </c>
      <c r="B137" s="321" t="s">
        <v>5</v>
      </c>
      <c r="C137" s="17" t="s">
        <v>6</v>
      </c>
      <c r="D137" s="265">
        <v>3</v>
      </c>
      <c r="E137" s="143" t="s">
        <v>456</v>
      </c>
      <c r="F137" s="15">
        <v>34</v>
      </c>
      <c r="G137" s="16" t="s">
        <v>171</v>
      </c>
      <c r="H137" s="14"/>
    </row>
    <row r="138" spans="1:8" x14ac:dyDescent="0.25">
      <c r="A138" s="289"/>
      <c r="B138" s="298"/>
      <c r="C138" s="17" t="s">
        <v>6</v>
      </c>
      <c r="D138" s="264"/>
      <c r="E138" s="143" t="s">
        <v>89</v>
      </c>
      <c r="F138" s="15">
        <v>24</v>
      </c>
      <c r="G138" s="16" t="s">
        <v>171</v>
      </c>
      <c r="H138" s="14"/>
    </row>
    <row r="139" spans="1:8" x14ac:dyDescent="0.25">
      <c r="A139" s="287">
        <v>46113</v>
      </c>
      <c r="B139" s="321" t="s">
        <v>5</v>
      </c>
      <c r="C139" s="17" t="s">
        <v>6</v>
      </c>
      <c r="D139" s="265">
        <v>5</v>
      </c>
      <c r="E139" s="98" t="s">
        <v>73</v>
      </c>
      <c r="F139" s="15">
        <v>24</v>
      </c>
      <c r="G139" s="16" t="s">
        <v>165</v>
      </c>
      <c r="H139" s="14"/>
    </row>
    <row r="140" spans="1:8" x14ac:dyDescent="0.25">
      <c r="A140" s="288"/>
      <c r="B140" s="297"/>
      <c r="C140" s="17" t="s">
        <v>6</v>
      </c>
      <c r="D140" s="263"/>
      <c r="E140" s="98" t="s">
        <v>79</v>
      </c>
      <c r="F140" s="15">
        <v>8</v>
      </c>
      <c r="G140" s="16" t="s">
        <v>165</v>
      </c>
      <c r="H140" s="14"/>
    </row>
    <row r="141" spans="1:8" x14ac:dyDescent="0.25">
      <c r="A141" s="288"/>
      <c r="B141" s="297"/>
      <c r="C141" s="17" t="s">
        <v>6</v>
      </c>
      <c r="D141" s="263"/>
      <c r="E141" s="143" t="s">
        <v>271</v>
      </c>
      <c r="F141" s="15" t="s">
        <v>9</v>
      </c>
      <c r="G141" s="16" t="s">
        <v>165</v>
      </c>
      <c r="H141" s="14"/>
    </row>
    <row r="142" spans="1:8" x14ac:dyDescent="0.25">
      <c r="A142" s="289"/>
      <c r="B142" s="298"/>
      <c r="C142" s="17" t="s">
        <v>6</v>
      </c>
      <c r="D142" s="264"/>
      <c r="E142" s="98" t="s">
        <v>97</v>
      </c>
      <c r="F142" s="15">
        <v>10</v>
      </c>
      <c r="G142" s="16" t="s">
        <v>165</v>
      </c>
      <c r="H142" s="14"/>
    </row>
    <row r="143" spans="1:8" x14ac:dyDescent="0.25">
      <c r="A143" s="18">
        <v>46113</v>
      </c>
      <c r="B143" s="83" t="s">
        <v>5</v>
      </c>
      <c r="C143" s="19" t="s">
        <v>6</v>
      </c>
      <c r="D143" s="248">
        <v>2</v>
      </c>
      <c r="E143" s="98" t="s">
        <v>229</v>
      </c>
      <c r="F143" s="15" t="s">
        <v>9</v>
      </c>
      <c r="G143" s="16"/>
      <c r="H143" s="14"/>
    </row>
    <row r="144" spans="1:8" x14ac:dyDescent="0.25">
      <c r="A144" s="18">
        <v>46114</v>
      </c>
      <c r="B144" s="83" t="s">
        <v>5</v>
      </c>
      <c r="C144" s="19" t="s">
        <v>6</v>
      </c>
      <c r="D144" s="248">
        <v>4</v>
      </c>
      <c r="E144" s="143" t="s">
        <v>23</v>
      </c>
      <c r="F144" s="15">
        <v>6</v>
      </c>
      <c r="G144" s="16" t="s">
        <v>166</v>
      </c>
      <c r="H144" s="14"/>
    </row>
    <row r="145" spans="1:8" x14ac:dyDescent="0.25">
      <c r="A145" s="18">
        <v>46114</v>
      </c>
      <c r="B145" s="83" t="s">
        <v>5</v>
      </c>
      <c r="C145" s="19" t="s">
        <v>6</v>
      </c>
      <c r="D145" s="248">
        <v>4</v>
      </c>
      <c r="E145" s="143" t="s">
        <v>23</v>
      </c>
      <c r="F145" s="15">
        <v>7</v>
      </c>
      <c r="G145" s="16" t="s">
        <v>164</v>
      </c>
      <c r="H145" s="14"/>
    </row>
    <row r="146" spans="1:8" x14ac:dyDescent="0.25">
      <c r="A146" s="18">
        <v>46114</v>
      </c>
      <c r="B146" s="83" t="s">
        <v>5</v>
      </c>
      <c r="C146" s="19" t="s">
        <v>6</v>
      </c>
      <c r="D146" s="248">
        <v>3</v>
      </c>
      <c r="E146" s="98" t="s">
        <v>87</v>
      </c>
      <c r="F146" s="15">
        <v>6</v>
      </c>
      <c r="G146" s="16">
        <v>111</v>
      </c>
      <c r="H146" s="14"/>
    </row>
    <row r="147" spans="1:8" x14ac:dyDescent="0.25">
      <c r="A147" s="287">
        <v>46114</v>
      </c>
      <c r="B147" s="321" t="s">
        <v>5</v>
      </c>
      <c r="C147" s="17" t="s">
        <v>6</v>
      </c>
      <c r="D147" s="265">
        <v>5</v>
      </c>
      <c r="E147" s="98" t="s">
        <v>87</v>
      </c>
      <c r="F147" s="15">
        <v>7</v>
      </c>
      <c r="G147" s="16">
        <v>101</v>
      </c>
      <c r="H147" s="14"/>
    </row>
    <row r="148" spans="1:8" x14ac:dyDescent="0.25">
      <c r="A148" s="289"/>
      <c r="B148" s="298"/>
      <c r="C148" s="17" t="s">
        <v>6</v>
      </c>
      <c r="D148" s="264"/>
      <c r="E148" s="98" t="s">
        <v>73</v>
      </c>
      <c r="F148" s="15">
        <v>9</v>
      </c>
      <c r="G148" s="16"/>
      <c r="H148" s="14"/>
    </row>
    <row r="149" spans="1:8" x14ac:dyDescent="0.25">
      <c r="A149" s="287">
        <v>46114</v>
      </c>
      <c r="B149" s="321" t="s">
        <v>5</v>
      </c>
      <c r="C149" s="17" t="s">
        <v>6</v>
      </c>
      <c r="D149" s="265">
        <v>6</v>
      </c>
      <c r="E149" s="155" t="s">
        <v>201</v>
      </c>
      <c r="F149" s="15">
        <v>84</v>
      </c>
      <c r="G149" s="16" t="s">
        <v>165</v>
      </c>
      <c r="H149" s="14"/>
    </row>
    <row r="150" spans="1:8" x14ac:dyDescent="0.25">
      <c r="A150" s="288"/>
      <c r="B150" s="297"/>
      <c r="C150" s="17" t="s">
        <v>6</v>
      </c>
      <c r="D150" s="263"/>
      <c r="E150" s="98" t="s">
        <v>79</v>
      </c>
      <c r="F150" s="15">
        <v>9</v>
      </c>
      <c r="G150" s="16"/>
      <c r="H150" s="14"/>
    </row>
    <row r="151" spans="1:8" x14ac:dyDescent="0.25">
      <c r="A151" s="289"/>
      <c r="B151" s="298"/>
      <c r="C151" s="17" t="s">
        <v>6</v>
      </c>
      <c r="D151" s="264"/>
      <c r="E151" s="98" t="s">
        <v>97</v>
      </c>
      <c r="F151" s="15">
        <v>9</v>
      </c>
      <c r="G151" s="16"/>
      <c r="H151" s="14"/>
    </row>
    <row r="152" spans="1:8" x14ac:dyDescent="0.25">
      <c r="A152" s="18">
        <v>46114</v>
      </c>
      <c r="B152" s="83" t="s">
        <v>5</v>
      </c>
      <c r="C152" s="19" t="s">
        <v>6</v>
      </c>
      <c r="D152" s="248">
        <v>5</v>
      </c>
      <c r="E152" s="143" t="s">
        <v>23</v>
      </c>
      <c r="F152" s="15">
        <v>6</v>
      </c>
      <c r="G152" s="16" t="s">
        <v>171</v>
      </c>
      <c r="H152" s="14"/>
    </row>
    <row r="153" spans="1:8" x14ac:dyDescent="0.25">
      <c r="A153" s="18">
        <v>46114</v>
      </c>
      <c r="B153" s="83" t="s">
        <v>5</v>
      </c>
      <c r="C153" s="19" t="s">
        <v>6</v>
      </c>
      <c r="D153" s="248">
        <v>4</v>
      </c>
      <c r="E153" s="143" t="s">
        <v>23</v>
      </c>
      <c r="F153" s="15">
        <v>6</v>
      </c>
      <c r="G153" s="16" t="s">
        <v>171</v>
      </c>
      <c r="H153" s="14"/>
    </row>
    <row r="154" spans="1:8" x14ac:dyDescent="0.25">
      <c r="A154" s="18">
        <v>46114</v>
      </c>
      <c r="B154" s="83" t="s">
        <v>5</v>
      </c>
      <c r="C154" s="19" t="s">
        <v>6</v>
      </c>
      <c r="D154" s="248">
        <v>4</v>
      </c>
      <c r="E154" s="143" t="s">
        <v>23</v>
      </c>
      <c r="F154" s="15">
        <v>6</v>
      </c>
      <c r="G154" s="16" t="s">
        <v>166</v>
      </c>
      <c r="H154" s="14"/>
    </row>
    <row r="155" spans="1:8" x14ac:dyDescent="0.25">
      <c r="A155" s="18">
        <v>46114</v>
      </c>
      <c r="B155" s="83" t="s">
        <v>5</v>
      </c>
      <c r="C155" s="19" t="s">
        <v>6</v>
      </c>
      <c r="D155" s="248">
        <v>2</v>
      </c>
      <c r="E155" s="98" t="s">
        <v>229</v>
      </c>
      <c r="F155" s="15" t="s">
        <v>9</v>
      </c>
      <c r="G155" s="16"/>
      <c r="H155" s="14"/>
    </row>
    <row r="156" spans="1:8" x14ac:dyDescent="0.25">
      <c r="A156" s="18">
        <v>46115</v>
      </c>
      <c r="B156" s="83" t="s">
        <v>5</v>
      </c>
      <c r="C156" s="19" t="s">
        <v>6</v>
      </c>
      <c r="D156" s="248">
        <v>2</v>
      </c>
      <c r="E156" s="98" t="s">
        <v>229</v>
      </c>
      <c r="F156" s="15" t="s">
        <v>9</v>
      </c>
      <c r="G156" s="16"/>
      <c r="H156" s="14"/>
    </row>
    <row r="157" spans="1:8" x14ac:dyDescent="0.25">
      <c r="A157" s="287">
        <v>46115</v>
      </c>
      <c r="B157" s="321" t="s">
        <v>5</v>
      </c>
      <c r="C157" s="17" t="s">
        <v>6</v>
      </c>
      <c r="D157" s="265">
        <v>6</v>
      </c>
      <c r="E157" s="143" t="s">
        <v>26</v>
      </c>
      <c r="F157" s="15">
        <v>50</v>
      </c>
      <c r="G157" s="22" t="s">
        <v>198</v>
      </c>
      <c r="H157" s="14"/>
    </row>
    <row r="158" spans="1:8" x14ac:dyDescent="0.25">
      <c r="A158" s="289"/>
      <c r="B158" s="298"/>
      <c r="C158" s="17" t="s">
        <v>6</v>
      </c>
      <c r="D158" s="264"/>
      <c r="E158" s="143" t="s">
        <v>271</v>
      </c>
      <c r="F158" s="15">
        <v>50</v>
      </c>
      <c r="G158" s="16"/>
      <c r="H158" s="14"/>
    </row>
    <row r="159" spans="1:8" x14ac:dyDescent="0.25">
      <c r="A159" s="287">
        <v>46115</v>
      </c>
      <c r="B159" s="321" t="s">
        <v>5</v>
      </c>
      <c r="C159" s="17" t="s">
        <v>6</v>
      </c>
      <c r="D159" s="265">
        <v>6</v>
      </c>
      <c r="E159" s="155" t="s">
        <v>200</v>
      </c>
      <c r="F159" s="15">
        <v>55</v>
      </c>
      <c r="G159" s="16" t="s">
        <v>165</v>
      </c>
      <c r="H159" s="14"/>
    </row>
    <row r="160" spans="1:8" x14ac:dyDescent="0.25">
      <c r="A160" s="289"/>
      <c r="B160" s="298"/>
      <c r="C160" s="17" t="s">
        <v>6</v>
      </c>
      <c r="D160" s="264"/>
      <c r="E160" s="98" t="s">
        <v>97</v>
      </c>
      <c r="F160" s="15">
        <v>5</v>
      </c>
      <c r="G160" s="16"/>
      <c r="H160" s="14"/>
    </row>
    <row r="161" spans="1:8" x14ac:dyDescent="0.25">
      <c r="A161" s="18">
        <v>46115</v>
      </c>
      <c r="B161" s="83" t="s">
        <v>5</v>
      </c>
      <c r="C161" s="19" t="s">
        <v>6</v>
      </c>
      <c r="D161" s="248">
        <v>4</v>
      </c>
      <c r="E161" s="143" t="s">
        <v>23</v>
      </c>
      <c r="F161" s="15">
        <v>7</v>
      </c>
      <c r="G161" s="16" t="s">
        <v>183</v>
      </c>
      <c r="H161" s="14"/>
    </row>
    <row r="162" spans="1:8" x14ac:dyDescent="0.25">
      <c r="A162" s="18">
        <v>46115</v>
      </c>
      <c r="B162" s="83" t="s">
        <v>5</v>
      </c>
      <c r="C162" s="19" t="s">
        <v>6</v>
      </c>
      <c r="D162" s="248">
        <v>5</v>
      </c>
      <c r="E162" s="143" t="s">
        <v>23</v>
      </c>
      <c r="F162" s="15">
        <v>4</v>
      </c>
      <c r="G162" s="16" t="s">
        <v>184</v>
      </c>
      <c r="H162" s="14"/>
    </row>
    <row r="163" spans="1:8" ht="31.5" x14ac:dyDescent="0.25">
      <c r="A163" s="18">
        <v>46115</v>
      </c>
      <c r="B163" s="83" t="s">
        <v>5</v>
      </c>
      <c r="C163" s="19" t="s">
        <v>6</v>
      </c>
      <c r="D163" s="248">
        <v>4</v>
      </c>
      <c r="E163" s="143" t="s">
        <v>23</v>
      </c>
      <c r="F163" s="15">
        <v>4</v>
      </c>
      <c r="G163" s="16" t="s">
        <v>185</v>
      </c>
      <c r="H163" s="14"/>
    </row>
    <row r="164" spans="1:8" x14ac:dyDescent="0.25">
      <c r="A164" s="18">
        <v>46115</v>
      </c>
      <c r="B164" s="83" t="s">
        <v>5</v>
      </c>
      <c r="C164" s="19" t="s">
        <v>6</v>
      </c>
      <c r="D164" s="248">
        <v>5</v>
      </c>
      <c r="E164" s="143" t="s">
        <v>23</v>
      </c>
      <c r="F164" s="15">
        <v>5</v>
      </c>
      <c r="G164" s="16" t="s">
        <v>27</v>
      </c>
      <c r="H164" s="14"/>
    </row>
    <row r="165" spans="1:8" x14ac:dyDescent="0.25">
      <c r="A165" s="287">
        <v>46115</v>
      </c>
      <c r="B165" s="321" t="s">
        <v>5</v>
      </c>
      <c r="C165" s="17" t="s">
        <v>6</v>
      </c>
      <c r="D165" s="265">
        <v>3</v>
      </c>
      <c r="E165" s="98" t="s">
        <v>73</v>
      </c>
      <c r="F165" s="15">
        <v>18</v>
      </c>
      <c r="G165" s="16" t="s">
        <v>186</v>
      </c>
      <c r="H165" s="14"/>
    </row>
    <row r="166" spans="1:8" x14ac:dyDescent="0.25">
      <c r="A166" s="289"/>
      <c r="B166" s="298"/>
      <c r="C166" s="17" t="s">
        <v>6</v>
      </c>
      <c r="D166" s="264"/>
      <c r="E166" s="98" t="s">
        <v>87</v>
      </c>
      <c r="F166" s="15">
        <v>9</v>
      </c>
      <c r="G166" s="16"/>
      <c r="H166" s="14"/>
    </row>
    <row r="167" spans="1:8" x14ac:dyDescent="0.25">
      <c r="A167" s="18">
        <v>46115</v>
      </c>
      <c r="B167" s="83" t="s">
        <v>5</v>
      </c>
      <c r="C167" s="19" t="s">
        <v>6</v>
      </c>
      <c r="D167" s="248">
        <v>4</v>
      </c>
      <c r="E167" s="143" t="s">
        <v>80</v>
      </c>
      <c r="F167" s="15">
        <v>16</v>
      </c>
      <c r="G167" s="16" t="s">
        <v>166</v>
      </c>
      <c r="H167" s="14" t="s">
        <v>28</v>
      </c>
    </row>
    <row r="168" spans="1:8" x14ac:dyDescent="0.25">
      <c r="A168" s="18">
        <v>46116</v>
      </c>
      <c r="B168" s="83" t="s">
        <v>5</v>
      </c>
      <c r="C168" s="19" t="s">
        <v>6</v>
      </c>
      <c r="D168" s="248">
        <v>6</v>
      </c>
      <c r="E168" s="143" t="s">
        <v>29</v>
      </c>
      <c r="F168" s="15">
        <v>10</v>
      </c>
      <c r="G168" s="16" t="s">
        <v>30</v>
      </c>
      <c r="H168" s="14"/>
    </row>
    <row r="169" spans="1:8" x14ac:dyDescent="0.25">
      <c r="A169" s="287">
        <v>46116</v>
      </c>
      <c r="B169" s="321" t="s">
        <v>5</v>
      </c>
      <c r="C169" s="17" t="s">
        <v>6</v>
      </c>
      <c r="D169" s="265">
        <v>4</v>
      </c>
      <c r="E169" s="156" t="s">
        <v>26</v>
      </c>
      <c r="F169" s="15">
        <v>50</v>
      </c>
      <c r="G169" s="22" t="s">
        <v>198</v>
      </c>
      <c r="H169" s="14"/>
    </row>
    <row r="170" spans="1:8" x14ac:dyDescent="0.25">
      <c r="A170" s="289"/>
      <c r="B170" s="298"/>
      <c r="C170" s="17" t="s">
        <v>6</v>
      </c>
      <c r="D170" s="264"/>
      <c r="E170" s="157" t="s">
        <v>200</v>
      </c>
      <c r="F170" s="15">
        <v>50</v>
      </c>
      <c r="G170" s="16"/>
      <c r="H170" s="14"/>
    </row>
    <row r="171" spans="1:8" x14ac:dyDescent="0.25">
      <c r="A171" s="287">
        <v>46116</v>
      </c>
      <c r="B171" s="321" t="s">
        <v>5</v>
      </c>
      <c r="C171" s="17" t="s">
        <v>6</v>
      </c>
      <c r="D171" s="265">
        <v>4</v>
      </c>
      <c r="E171" s="143" t="s">
        <v>80</v>
      </c>
      <c r="F171" s="15">
        <v>19</v>
      </c>
      <c r="G171" s="16" t="s">
        <v>166</v>
      </c>
      <c r="H171" s="14"/>
    </row>
    <row r="172" spans="1:8" x14ac:dyDescent="0.25">
      <c r="A172" s="289"/>
      <c r="B172" s="298"/>
      <c r="C172" s="17" t="s">
        <v>6</v>
      </c>
      <c r="D172" s="264"/>
      <c r="E172" s="143" t="s">
        <v>96</v>
      </c>
      <c r="F172" s="15">
        <v>6</v>
      </c>
      <c r="G172" s="16"/>
      <c r="H172" s="14"/>
    </row>
    <row r="173" spans="1:8" x14ac:dyDescent="0.25">
      <c r="A173" s="287">
        <v>46116</v>
      </c>
      <c r="B173" s="321" t="s">
        <v>5</v>
      </c>
      <c r="C173" s="17" t="s">
        <v>6</v>
      </c>
      <c r="D173" s="265">
        <v>4</v>
      </c>
      <c r="E173" s="143" t="s">
        <v>23</v>
      </c>
      <c r="F173" s="15">
        <v>4</v>
      </c>
      <c r="G173" s="16">
        <v>113</v>
      </c>
      <c r="H173" s="14" t="s">
        <v>31</v>
      </c>
    </row>
    <row r="174" spans="1:8" x14ac:dyDescent="0.25">
      <c r="A174" s="288"/>
      <c r="B174" s="297"/>
      <c r="C174" s="17" t="s">
        <v>6</v>
      </c>
      <c r="D174" s="263"/>
      <c r="E174" s="143" t="s">
        <v>89</v>
      </c>
      <c r="F174" s="15">
        <v>12</v>
      </c>
      <c r="G174" s="16"/>
      <c r="H174" s="14"/>
    </row>
    <row r="175" spans="1:8" x14ac:dyDescent="0.25">
      <c r="A175" s="289"/>
      <c r="B175" s="298"/>
      <c r="C175" s="17" t="s">
        <v>6</v>
      </c>
      <c r="D175" s="264"/>
      <c r="E175" s="143" t="s">
        <v>456</v>
      </c>
      <c r="F175" s="15">
        <v>23</v>
      </c>
      <c r="G175" s="16"/>
      <c r="H175" s="14"/>
    </row>
    <row r="176" spans="1:8" x14ac:dyDescent="0.25">
      <c r="A176" s="18">
        <v>46116</v>
      </c>
      <c r="B176" s="83" t="s">
        <v>5</v>
      </c>
      <c r="C176" s="19" t="s">
        <v>6</v>
      </c>
      <c r="D176" s="248">
        <v>5</v>
      </c>
      <c r="E176" s="98" t="s">
        <v>73</v>
      </c>
      <c r="F176" s="15">
        <v>18</v>
      </c>
      <c r="G176" s="16" t="s">
        <v>187</v>
      </c>
      <c r="H176" s="14"/>
    </row>
    <row r="177" spans="1:8" x14ac:dyDescent="0.25">
      <c r="A177" s="287">
        <v>46116</v>
      </c>
      <c r="B177" s="321" t="s">
        <v>5</v>
      </c>
      <c r="C177" s="17" t="s">
        <v>6</v>
      </c>
      <c r="D177" s="265">
        <v>6</v>
      </c>
      <c r="E177" s="143" t="s">
        <v>456</v>
      </c>
      <c r="F177" s="15">
        <v>117</v>
      </c>
      <c r="G177" s="16" t="s">
        <v>19</v>
      </c>
      <c r="H177" s="14"/>
    </row>
    <row r="178" spans="1:8" x14ac:dyDescent="0.25">
      <c r="A178" s="289"/>
      <c r="B178" s="298"/>
      <c r="C178" s="17" t="s">
        <v>6</v>
      </c>
      <c r="D178" s="264"/>
      <c r="E178" s="143" t="s">
        <v>91</v>
      </c>
      <c r="F178" s="15">
        <v>38</v>
      </c>
      <c r="G178" s="16"/>
      <c r="H178" s="14"/>
    </row>
    <row r="179" spans="1:8" x14ac:dyDescent="0.25">
      <c r="A179" s="287">
        <v>46116</v>
      </c>
      <c r="B179" s="321" t="s">
        <v>5</v>
      </c>
      <c r="C179" s="17" t="s">
        <v>6</v>
      </c>
      <c r="D179" s="265">
        <v>4</v>
      </c>
      <c r="E179" s="98" t="s">
        <v>308</v>
      </c>
      <c r="F179" s="15">
        <v>6</v>
      </c>
      <c r="G179" s="16">
        <v>112</v>
      </c>
      <c r="H179" s="14"/>
    </row>
    <row r="180" spans="1:8" x14ac:dyDescent="0.25">
      <c r="A180" s="288"/>
      <c r="B180" s="297"/>
      <c r="C180" s="17" t="s">
        <v>6</v>
      </c>
      <c r="D180" s="263"/>
      <c r="E180" s="98" t="s">
        <v>73</v>
      </c>
      <c r="F180" s="15">
        <v>4</v>
      </c>
      <c r="G180" s="16"/>
      <c r="H180" s="14"/>
    </row>
    <row r="181" spans="1:8" x14ac:dyDescent="0.25">
      <c r="A181" s="289"/>
      <c r="B181" s="298"/>
      <c r="C181" s="17" t="s">
        <v>6</v>
      </c>
      <c r="D181" s="264"/>
      <c r="E181" s="98" t="s">
        <v>110</v>
      </c>
      <c r="F181" s="15">
        <v>16</v>
      </c>
      <c r="G181" s="16"/>
      <c r="H181" s="14"/>
    </row>
    <row r="182" spans="1:8" x14ac:dyDescent="0.25">
      <c r="A182" s="287">
        <v>46116</v>
      </c>
      <c r="B182" s="321" t="s">
        <v>5</v>
      </c>
      <c r="C182" s="17" t="s">
        <v>6</v>
      </c>
      <c r="D182" s="265">
        <v>6</v>
      </c>
      <c r="E182" s="156" t="s">
        <v>26</v>
      </c>
      <c r="F182" s="15">
        <v>80</v>
      </c>
      <c r="G182" s="22" t="s">
        <v>198</v>
      </c>
      <c r="H182" s="14"/>
    </row>
    <row r="183" spans="1:8" x14ac:dyDescent="0.25">
      <c r="A183" s="289"/>
      <c r="B183" s="298"/>
      <c r="C183" s="17" t="s">
        <v>6</v>
      </c>
      <c r="D183" s="264"/>
      <c r="E183" s="157" t="s">
        <v>200</v>
      </c>
      <c r="F183" s="15">
        <v>80</v>
      </c>
      <c r="G183" s="16"/>
      <c r="H183" s="14"/>
    </row>
    <row r="184" spans="1:8" x14ac:dyDescent="0.25">
      <c r="A184" s="18">
        <v>46116</v>
      </c>
      <c r="B184" s="83" t="s">
        <v>5</v>
      </c>
      <c r="C184" s="17" t="s">
        <v>6</v>
      </c>
      <c r="D184" s="248">
        <v>2</v>
      </c>
      <c r="E184" s="143" t="s">
        <v>256</v>
      </c>
      <c r="F184" s="15"/>
      <c r="G184" s="16" t="s">
        <v>192</v>
      </c>
      <c r="H184" s="14" t="s">
        <v>32</v>
      </c>
    </row>
    <row r="185" spans="1:8" x14ac:dyDescent="0.25">
      <c r="A185" s="18">
        <v>46116</v>
      </c>
      <c r="B185" s="83" t="s">
        <v>5</v>
      </c>
      <c r="C185" s="17" t="s">
        <v>6</v>
      </c>
      <c r="D185" s="248">
        <v>2</v>
      </c>
      <c r="E185" s="98" t="s">
        <v>229</v>
      </c>
      <c r="F185" s="15"/>
      <c r="G185" s="16"/>
      <c r="H185" s="14"/>
    </row>
    <row r="186" spans="1:8" x14ac:dyDescent="0.25">
      <c r="A186" s="287">
        <v>46117</v>
      </c>
      <c r="B186" s="321" t="s">
        <v>5</v>
      </c>
      <c r="C186" s="17" t="s">
        <v>6</v>
      </c>
      <c r="D186" s="265">
        <v>5</v>
      </c>
      <c r="E186" s="156" t="s">
        <v>26</v>
      </c>
      <c r="F186" s="15">
        <v>75</v>
      </c>
      <c r="G186" s="22" t="s">
        <v>198</v>
      </c>
      <c r="H186" s="14"/>
    </row>
    <row r="187" spans="1:8" x14ac:dyDescent="0.25">
      <c r="A187" s="289"/>
      <c r="B187" s="298"/>
      <c r="C187" s="17" t="s">
        <v>6</v>
      </c>
      <c r="D187" s="264"/>
      <c r="E187" s="156" t="s">
        <v>271</v>
      </c>
      <c r="F187" s="15">
        <v>75</v>
      </c>
      <c r="G187" s="16"/>
      <c r="H187" s="14"/>
    </row>
    <row r="188" spans="1:8" x14ac:dyDescent="0.25">
      <c r="A188" s="287">
        <v>46117</v>
      </c>
      <c r="B188" s="321" t="s">
        <v>5</v>
      </c>
      <c r="C188" s="17" t="s">
        <v>6</v>
      </c>
      <c r="D188" s="265">
        <v>6</v>
      </c>
      <c r="E188" s="143" t="s">
        <v>26</v>
      </c>
      <c r="F188" s="15">
        <v>50</v>
      </c>
      <c r="G188" s="22" t="s">
        <v>198</v>
      </c>
      <c r="H188" s="14"/>
    </row>
    <row r="189" spans="1:8" x14ac:dyDescent="0.25">
      <c r="A189" s="288"/>
      <c r="B189" s="297"/>
      <c r="C189" s="17" t="s">
        <v>6</v>
      </c>
      <c r="D189" s="263"/>
      <c r="E189" s="143" t="s">
        <v>271</v>
      </c>
      <c r="F189" s="15">
        <v>25</v>
      </c>
      <c r="G189" s="16"/>
      <c r="H189" s="14"/>
    </row>
    <row r="190" spans="1:8" x14ac:dyDescent="0.25">
      <c r="A190" s="289"/>
      <c r="B190" s="298"/>
      <c r="C190" s="17" t="s">
        <v>6</v>
      </c>
      <c r="D190" s="264"/>
      <c r="E190" s="155" t="s">
        <v>200</v>
      </c>
      <c r="F190" s="15">
        <v>25</v>
      </c>
      <c r="G190" s="16"/>
      <c r="H190" s="14"/>
    </row>
    <row r="191" spans="1:8" x14ac:dyDescent="0.25">
      <c r="A191" s="18">
        <v>46117</v>
      </c>
      <c r="B191" s="83" t="s">
        <v>5</v>
      </c>
      <c r="C191" s="17" t="s">
        <v>6</v>
      </c>
      <c r="D191" s="248">
        <v>4</v>
      </c>
      <c r="E191" s="143" t="s">
        <v>80</v>
      </c>
      <c r="F191" s="15">
        <v>8</v>
      </c>
      <c r="G191" s="16" t="s">
        <v>171</v>
      </c>
      <c r="H191" s="14"/>
    </row>
    <row r="192" spans="1:8" x14ac:dyDescent="0.25">
      <c r="A192" s="287">
        <v>46117</v>
      </c>
      <c r="B192" s="321" t="s">
        <v>5</v>
      </c>
      <c r="C192" s="17" t="s">
        <v>6</v>
      </c>
      <c r="D192" s="265">
        <v>4</v>
      </c>
      <c r="E192" s="98" t="s">
        <v>87</v>
      </c>
      <c r="F192" s="15">
        <v>3</v>
      </c>
      <c r="G192" s="16">
        <v>117</v>
      </c>
      <c r="H192" s="14"/>
    </row>
    <row r="193" spans="1:8" x14ac:dyDescent="0.25">
      <c r="A193" s="289"/>
      <c r="B193" s="298"/>
      <c r="C193" s="17" t="s">
        <v>6</v>
      </c>
      <c r="D193" s="264"/>
      <c r="E193" s="98" t="s">
        <v>73</v>
      </c>
      <c r="F193" s="15">
        <v>6</v>
      </c>
      <c r="G193" s="16"/>
      <c r="H193" s="14"/>
    </row>
    <row r="194" spans="1:8" x14ac:dyDescent="0.25">
      <c r="A194" s="18">
        <v>46117</v>
      </c>
      <c r="B194" s="83" t="s">
        <v>5</v>
      </c>
      <c r="C194" s="17" t="s">
        <v>6</v>
      </c>
      <c r="D194" s="248">
        <v>3</v>
      </c>
      <c r="E194" s="143" t="s">
        <v>23</v>
      </c>
      <c r="F194" s="15">
        <v>2</v>
      </c>
      <c r="G194" s="16">
        <v>113</v>
      </c>
      <c r="H194" s="14"/>
    </row>
    <row r="195" spans="1:8" x14ac:dyDescent="0.25">
      <c r="A195" s="287">
        <v>46117</v>
      </c>
      <c r="B195" s="321" t="s">
        <v>5</v>
      </c>
      <c r="C195" s="17" t="s">
        <v>6</v>
      </c>
      <c r="D195" s="265">
        <v>5</v>
      </c>
      <c r="E195" s="143" t="s">
        <v>456</v>
      </c>
      <c r="F195" s="15">
        <v>75</v>
      </c>
      <c r="G195" s="16">
        <v>116</v>
      </c>
      <c r="H195" s="14"/>
    </row>
    <row r="196" spans="1:8" x14ac:dyDescent="0.25">
      <c r="A196" s="289"/>
      <c r="B196" s="298"/>
      <c r="C196" s="17" t="s">
        <v>6</v>
      </c>
      <c r="D196" s="264"/>
      <c r="E196" s="143" t="s">
        <v>89</v>
      </c>
      <c r="F196" s="15">
        <v>45</v>
      </c>
      <c r="G196" s="16"/>
      <c r="H196" s="14"/>
    </row>
    <row r="197" spans="1:8" x14ac:dyDescent="0.25">
      <c r="A197" s="287">
        <v>46117</v>
      </c>
      <c r="B197" s="321" t="s">
        <v>5</v>
      </c>
      <c r="C197" s="17" t="s">
        <v>6</v>
      </c>
      <c r="D197" s="265">
        <v>2</v>
      </c>
      <c r="E197" s="143" t="s">
        <v>456</v>
      </c>
      <c r="F197" s="15">
        <v>37</v>
      </c>
      <c r="G197" s="16">
        <v>117</v>
      </c>
      <c r="H197" s="14"/>
    </row>
    <row r="198" spans="1:8" x14ac:dyDescent="0.25">
      <c r="A198" s="289"/>
      <c r="B198" s="298"/>
      <c r="C198" s="17" t="s">
        <v>6</v>
      </c>
      <c r="D198" s="264"/>
      <c r="E198" s="143" t="s">
        <v>89</v>
      </c>
      <c r="F198" s="15">
        <v>15</v>
      </c>
      <c r="G198" s="16"/>
      <c r="H198" s="14"/>
    </row>
    <row r="199" spans="1:8" x14ac:dyDescent="0.25">
      <c r="A199" s="287">
        <v>46117</v>
      </c>
      <c r="B199" s="321" t="s">
        <v>5</v>
      </c>
      <c r="C199" s="17" t="s">
        <v>6</v>
      </c>
      <c r="D199" s="265">
        <v>5</v>
      </c>
      <c r="E199" s="143" t="s">
        <v>456</v>
      </c>
      <c r="F199" s="15">
        <v>43</v>
      </c>
      <c r="G199" s="16">
        <v>116</v>
      </c>
      <c r="H199" s="14"/>
    </row>
    <row r="200" spans="1:8" x14ac:dyDescent="0.25">
      <c r="A200" s="289"/>
      <c r="B200" s="298"/>
      <c r="C200" s="17" t="s">
        <v>6</v>
      </c>
      <c r="D200" s="264"/>
      <c r="E200" s="143" t="s">
        <v>89</v>
      </c>
      <c r="F200" s="15">
        <v>24</v>
      </c>
      <c r="G200" s="16"/>
      <c r="H200" s="14"/>
    </row>
    <row r="201" spans="1:8" x14ac:dyDescent="0.25">
      <c r="A201" s="18">
        <v>46117</v>
      </c>
      <c r="B201" s="83" t="s">
        <v>5</v>
      </c>
      <c r="C201" s="19" t="s">
        <v>13</v>
      </c>
      <c r="D201" s="248">
        <v>3</v>
      </c>
      <c r="E201" s="143" t="s">
        <v>33</v>
      </c>
      <c r="F201" s="15">
        <v>3</v>
      </c>
      <c r="G201" s="16" t="s">
        <v>34</v>
      </c>
      <c r="H201" s="14"/>
    </row>
    <row r="202" spans="1:8" x14ac:dyDescent="0.25">
      <c r="A202" s="18">
        <v>46117</v>
      </c>
      <c r="B202" s="83" t="s">
        <v>5</v>
      </c>
      <c r="C202" s="19" t="s">
        <v>6</v>
      </c>
      <c r="D202" s="248">
        <v>2</v>
      </c>
      <c r="E202" s="143" t="s">
        <v>256</v>
      </c>
      <c r="F202" s="15"/>
      <c r="G202" s="16">
        <v>112</v>
      </c>
      <c r="H202" s="14"/>
    </row>
    <row r="203" spans="1:8" x14ac:dyDescent="0.25">
      <c r="A203" s="18">
        <v>46117</v>
      </c>
      <c r="B203" s="83" t="s">
        <v>5</v>
      </c>
      <c r="C203" s="19" t="s">
        <v>6</v>
      </c>
      <c r="D203" s="248">
        <v>2</v>
      </c>
      <c r="E203" s="98" t="s">
        <v>229</v>
      </c>
      <c r="F203" s="15"/>
      <c r="G203" s="16"/>
      <c r="H203" s="14"/>
    </row>
    <row r="204" spans="1:8" x14ac:dyDescent="0.25">
      <c r="A204" s="287">
        <v>46118</v>
      </c>
      <c r="B204" s="321" t="s">
        <v>5</v>
      </c>
      <c r="C204" s="17" t="s">
        <v>6</v>
      </c>
      <c r="D204" s="265">
        <v>5</v>
      </c>
      <c r="E204" s="143" t="s">
        <v>456</v>
      </c>
      <c r="F204" s="15">
        <v>110</v>
      </c>
      <c r="G204" s="16">
        <v>116</v>
      </c>
      <c r="H204" s="14"/>
    </row>
    <row r="205" spans="1:8" x14ac:dyDescent="0.25">
      <c r="A205" s="289"/>
      <c r="B205" s="298"/>
      <c r="C205" s="17" t="s">
        <v>6</v>
      </c>
      <c r="D205" s="264"/>
      <c r="E205" s="143" t="s">
        <v>90</v>
      </c>
      <c r="F205" s="15">
        <v>24</v>
      </c>
      <c r="G205" s="16"/>
      <c r="H205" s="14"/>
    </row>
    <row r="206" spans="1:8" x14ac:dyDescent="0.25">
      <c r="A206" s="287">
        <v>46118</v>
      </c>
      <c r="B206" s="321" t="s">
        <v>5</v>
      </c>
      <c r="C206" s="17" t="s">
        <v>6</v>
      </c>
      <c r="D206" s="265">
        <v>4</v>
      </c>
      <c r="E206" s="143" t="s">
        <v>456</v>
      </c>
      <c r="F206" s="15">
        <v>74</v>
      </c>
      <c r="G206" s="16">
        <v>116</v>
      </c>
      <c r="H206" s="14"/>
    </row>
    <row r="207" spans="1:8" x14ac:dyDescent="0.25">
      <c r="A207" s="289"/>
      <c r="B207" s="298"/>
      <c r="C207" s="17" t="s">
        <v>6</v>
      </c>
      <c r="D207" s="264"/>
      <c r="E207" s="143" t="s">
        <v>90</v>
      </c>
      <c r="F207" s="15">
        <v>10</v>
      </c>
      <c r="G207" s="16"/>
      <c r="H207" s="14"/>
    </row>
    <row r="208" spans="1:8" x14ac:dyDescent="0.25">
      <c r="A208" s="287">
        <v>46118</v>
      </c>
      <c r="B208" s="321" t="s">
        <v>5</v>
      </c>
      <c r="C208" s="17" t="s">
        <v>6</v>
      </c>
      <c r="D208" s="265">
        <v>3</v>
      </c>
      <c r="E208" s="143" t="s">
        <v>26</v>
      </c>
      <c r="F208" s="15">
        <v>60</v>
      </c>
      <c r="G208" s="16"/>
      <c r="H208" s="14"/>
    </row>
    <row r="209" spans="1:8" x14ac:dyDescent="0.25">
      <c r="A209" s="289"/>
      <c r="B209" s="298"/>
      <c r="C209" s="17" t="s">
        <v>6</v>
      </c>
      <c r="D209" s="264"/>
      <c r="E209" s="155" t="s">
        <v>200</v>
      </c>
      <c r="F209" s="15">
        <v>60</v>
      </c>
      <c r="G209" s="16"/>
      <c r="H209" s="14"/>
    </row>
    <row r="210" spans="1:8" x14ac:dyDescent="0.25">
      <c r="A210" s="287">
        <v>46118</v>
      </c>
      <c r="B210" s="321" t="s">
        <v>5</v>
      </c>
      <c r="C210" s="17" t="s">
        <v>6</v>
      </c>
      <c r="D210" s="265">
        <v>8</v>
      </c>
      <c r="E210" s="98" t="s">
        <v>35</v>
      </c>
      <c r="F210" s="15">
        <v>40</v>
      </c>
      <c r="G210" s="16" t="s">
        <v>193</v>
      </c>
      <c r="H210" s="14"/>
    </row>
    <row r="211" spans="1:8" x14ac:dyDescent="0.25">
      <c r="A211" s="289"/>
      <c r="B211" s="298"/>
      <c r="C211" s="17" t="s">
        <v>6</v>
      </c>
      <c r="D211" s="264"/>
      <c r="E211" s="143" t="s">
        <v>93</v>
      </c>
      <c r="F211" s="15">
        <v>16</v>
      </c>
      <c r="G211" s="16"/>
      <c r="H211" s="14"/>
    </row>
    <row r="212" spans="1:8" x14ac:dyDescent="0.25">
      <c r="A212" s="18">
        <v>46118</v>
      </c>
      <c r="B212" s="83" t="s">
        <v>5</v>
      </c>
      <c r="C212" s="17" t="s">
        <v>6</v>
      </c>
      <c r="D212" s="248">
        <v>2</v>
      </c>
      <c r="E212" s="98" t="s">
        <v>229</v>
      </c>
      <c r="F212" s="15"/>
      <c r="G212" s="16"/>
      <c r="H212" s="14"/>
    </row>
    <row r="213" spans="1:8" ht="31.5" x14ac:dyDescent="0.25">
      <c r="A213" s="287">
        <v>46119</v>
      </c>
      <c r="B213" s="321" t="s">
        <v>36</v>
      </c>
      <c r="C213" s="19" t="s">
        <v>13</v>
      </c>
      <c r="D213" s="265">
        <v>4</v>
      </c>
      <c r="E213" s="143" t="s">
        <v>33</v>
      </c>
      <c r="F213" s="15">
        <v>4</v>
      </c>
      <c r="G213" s="16" t="s">
        <v>37</v>
      </c>
      <c r="H213" s="14"/>
    </row>
    <row r="214" spans="1:8" x14ac:dyDescent="0.25">
      <c r="A214" s="264"/>
      <c r="B214" s="298"/>
      <c r="C214" s="19" t="s">
        <v>13</v>
      </c>
      <c r="D214" s="264"/>
      <c r="E214" s="143" t="s">
        <v>456</v>
      </c>
      <c r="F214" s="15">
        <v>19</v>
      </c>
      <c r="G214" s="16"/>
      <c r="H214" s="14"/>
    </row>
    <row r="215" spans="1:8" x14ac:dyDescent="0.25">
      <c r="A215" s="18">
        <v>46119</v>
      </c>
      <c r="B215" s="83" t="s">
        <v>36</v>
      </c>
      <c r="C215" s="19" t="s">
        <v>6</v>
      </c>
      <c r="D215" s="248">
        <v>4</v>
      </c>
      <c r="E215" s="143" t="s">
        <v>14</v>
      </c>
      <c r="F215" s="15">
        <v>18</v>
      </c>
      <c r="G215" s="16">
        <v>116</v>
      </c>
      <c r="H215" s="14"/>
    </row>
    <row r="216" spans="1:8" x14ac:dyDescent="0.25">
      <c r="A216" s="287">
        <v>46119</v>
      </c>
      <c r="B216" s="321" t="s">
        <v>36</v>
      </c>
      <c r="C216" s="17" t="s">
        <v>6</v>
      </c>
      <c r="D216" s="265">
        <v>4</v>
      </c>
      <c r="E216" s="143" t="s">
        <v>26</v>
      </c>
      <c r="F216" s="15">
        <v>17</v>
      </c>
      <c r="G216" s="16"/>
      <c r="H216" s="14"/>
    </row>
    <row r="217" spans="1:8" x14ac:dyDescent="0.25">
      <c r="A217" s="263"/>
      <c r="B217" s="297"/>
      <c r="C217" s="17" t="s">
        <v>6</v>
      </c>
      <c r="D217" s="263"/>
      <c r="E217" s="155" t="s">
        <v>200</v>
      </c>
      <c r="F217" s="15">
        <v>17</v>
      </c>
      <c r="G217" s="16"/>
      <c r="H217" s="14"/>
    </row>
    <row r="218" spans="1:8" x14ac:dyDescent="0.25">
      <c r="A218" s="264"/>
      <c r="B218" s="298"/>
      <c r="C218" s="17" t="s">
        <v>6</v>
      </c>
      <c r="D218" s="264"/>
      <c r="E218" s="98" t="s">
        <v>73</v>
      </c>
      <c r="F218" s="15">
        <v>9</v>
      </c>
      <c r="G218" s="16"/>
      <c r="H218" s="14"/>
    </row>
    <row r="219" spans="1:8" x14ac:dyDescent="0.25">
      <c r="A219" s="18">
        <v>46119</v>
      </c>
      <c r="B219" s="83" t="s">
        <v>36</v>
      </c>
      <c r="C219" s="19" t="s">
        <v>6</v>
      </c>
      <c r="D219" s="248">
        <v>4</v>
      </c>
      <c r="E219" s="98" t="s">
        <v>35</v>
      </c>
      <c r="F219" s="15">
        <v>32</v>
      </c>
      <c r="G219" s="16">
        <v>101</v>
      </c>
      <c r="H219" s="14"/>
    </row>
    <row r="220" spans="1:8" x14ac:dyDescent="0.25">
      <c r="A220" s="18">
        <v>46119</v>
      </c>
      <c r="B220" s="83" t="s">
        <v>36</v>
      </c>
      <c r="C220" s="19" t="s">
        <v>6</v>
      </c>
      <c r="D220" s="248">
        <v>2</v>
      </c>
      <c r="E220" s="98" t="s">
        <v>73</v>
      </c>
      <c r="F220" s="15">
        <v>7</v>
      </c>
      <c r="G220" s="16">
        <v>112</v>
      </c>
      <c r="H220" s="14"/>
    </row>
    <row r="221" spans="1:8" x14ac:dyDescent="0.25">
      <c r="A221" s="18">
        <v>46119</v>
      </c>
      <c r="B221" s="83" t="s">
        <v>36</v>
      </c>
      <c r="C221" s="19" t="s">
        <v>6</v>
      </c>
      <c r="D221" s="248">
        <v>2</v>
      </c>
      <c r="E221" s="143" t="s">
        <v>256</v>
      </c>
      <c r="F221" s="15"/>
      <c r="G221" s="16">
        <v>112</v>
      </c>
      <c r="H221" s="14"/>
    </row>
    <row r="222" spans="1:8" x14ac:dyDescent="0.25">
      <c r="A222" s="287">
        <v>46119</v>
      </c>
      <c r="B222" s="321" t="s">
        <v>5</v>
      </c>
      <c r="C222" s="17" t="s">
        <v>6</v>
      </c>
      <c r="D222" s="265">
        <v>3</v>
      </c>
      <c r="E222" s="98" t="s">
        <v>151</v>
      </c>
      <c r="F222" s="15">
        <v>20</v>
      </c>
      <c r="G222" s="16">
        <v>116</v>
      </c>
      <c r="H222" s="14"/>
    </row>
    <row r="223" spans="1:8" x14ac:dyDescent="0.25">
      <c r="A223" s="288"/>
      <c r="B223" s="297"/>
      <c r="C223" s="17" t="s">
        <v>6</v>
      </c>
      <c r="D223" s="263"/>
      <c r="E223" s="143" t="s">
        <v>456</v>
      </c>
      <c r="F223" s="15">
        <v>35</v>
      </c>
      <c r="G223" s="16"/>
      <c r="H223" s="14"/>
    </row>
    <row r="224" spans="1:8" x14ac:dyDescent="0.25">
      <c r="A224" s="288"/>
      <c r="B224" s="297"/>
      <c r="C224" s="17" t="s">
        <v>6</v>
      </c>
      <c r="D224" s="263"/>
      <c r="E224" s="98" t="s">
        <v>151</v>
      </c>
      <c r="F224" s="15">
        <v>20</v>
      </c>
      <c r="G224" s="16"/>
      <c r="H224" s="14"/>
    </row>
    <row r="225" spans="1:8" x14ac:dyDescent="0.25">
      <c r="A225" s="288"/>
      <c r="B225" s="297"/>
      <c r="C225" s="17" t="s">
        <v>6</v>
      </c>
      <c r="D225" s="264"/>
      <c r="E225" s="143" t="s">
        <v>456</v>
      </c>
      <c r="F225" s="15">
        <v>100</v>
      </c>
      <c r="G225" s="16"/>
      <c r="H225" s="14"/>
    </row>
    <row r="226" spans="1:8" x14ac:dyDescent="0.25">
      <c r="A226" s="288"/>
      <c r="B226" s="297"/>
      <c r="C226" s="17" t="s">
        <v>6</v>
      </c>
      <c r="D226" s="265">
        <v>4</v>
      </c>
      <c r="E226" s="98" t="s">
        <v>87</v>
      </c>
      <c r="F226" s="15">
        <v>5</v>
      </c>
      <c r="G226" s="16">
        <v>101</v>
      </c>
      <c r="H226" s="14"/>
    </row>
    <row r="227" spans="1:8" x14ac:dyDescent="0.25">
      <c r="A227" s="288"/>
      <c r="B227" s="297"/>
      <c r="C227" s="17" t="s">
        <v>6</v>
      </c>
      <c r="D227" s="264"/>
      <c r="E227" s="98" t="s">
        <v>73</v>
      </c>
      <c r="F227" s="15">
        <v>5</v>
      </c>
      <c r="G227" s="16"/>
      <c r="H227" s="14"/>
    </row>
    <row r="228" spans="1:8" x14ac:dyDescent="0.25">
      <c r="A228" s="288"/>
      <c r="B228" s="297"/>
      <c r="C228" s="17" t="s">
        <v>6</v>
      </c>
      <c r="D228" s="248">
        <v>2</v>
      </c>
      <c r="E228" s="143" t="s">
        <v>256</v>
      </c>
      <c r="F228" s="15"/>
      <c r="G228" s="16">
        <v>112</v>
      </c>
      <c r="H228" s="14"/>
    </row>
    <row r="229" spans="1:8" x14ac:dyDescent="0.25">
      <c r="A229" s="288"/>
      <c r="B229" s="297"/>
      <c r="C229" s="17" t="s">
        <v>6</v>
      </c>
      <c r="D229" s="265">
        <v>8</v>
      </c>
      <c r="E229" s="143" t="s">
        <v>93</v>
      </c>
      <c r="F229" s="15">
        <v>13</v>
      </c>
      <c r="G229" s="16">
        <v>111</v>
      </c>
      <c r="H229" s="14"/>
    </row>
    <row r="230" spans="1:8" x14ac:dyDescent="0.25">
      <c r="A230" s="289"/>
      <c r="B230" s="298"/>
      <c r="C230" s="17" t="s">
        <v>6</v>
      </c>
      <c r="D230" s="264"/>
      <c r="E230" s="98" t="s">
        <v>35</v>
      </c>
      <c r="F230" s="15">
        <v>28</v>
      </c>
      <c r="G230" s="16"/>
      <c r="H230" s="14"/>
    </row>
    <row r="231" spans="1:8" x14ac:dyDescent="0.25">
      <c r="A231" s="18">
        <v>46119</v>
      </c>
      <c r="B231" s="83" t="s">
        <v>5</v>
      </c>
      <c r="C231" s="17" t="s">
        <v>6</v>
      </c>
      <c r="D231" s="248">
        <v>2</v>
      </c>
      <c r="E231" s="98" t="s">
        <v>229</v>
      </c>
      <c r="F231" s="15"/>
      <c r="G231" s="16"/>
      <c r="H231" s="14"/>
    </row>
    <row r="232" spans="1:8" x14ac:dyDescent="0.25">
      <c r="A232" s="287">
        <v>46120</v>
      </c>
      <c r="B232" s="321" t="s">
        <v>36</v>
      </c>
      <c r="C232" s="19" t="s">
        <v>13</v>
      </c>
      <c r="D232" s="248">
        <v>4</v>
      </c>
      <c r="E232" s="98" t="s">
        <v>58</v>
      </c>
      <c r="F232" s="15">
        <v>39</v>
      </c>
      <c r="G232" s="16">
        <v>116</v>
      </c>
      <c r="H232" s="14"/>
    </row>
    <row r="233" spans="1:8" x14ac:dyDescent="0.25">
      <c r="A233" s="263"/>
      <c r="B233" s="297"/>
      <c r="C233" s="17" t="s">
        <v>6</v>
      </c>
      <c r="D233" s="265">
        <v>4</v>
      </c>
      <c r="E233" s="98" t="s">
        <v>78</v>
      </c>
      <c r="F233" s="15">
        <v>27</v>
      </c>
      <c r="G233" s="16">
        <v>116</v>
      </c>
      <c r="H233" s="14"/>
    </row>
    <row r="234" spans="1:8" x14ac:dyDescent="0.25">
      <c r="A234" s="263"/>
      <c r="B234" s="297"/>
      <c r="C234" s="17" t="s">
        <v>6</v>
      </c>
      <c r="D234" s="264"/>
      <c r="E234" s="98" t="s">
        <v>71</v>
      </c>
      <c r="F234" s="15">
        <v>9</v>
      </c>
      <c r="G234" s="16"/>
      <c r="H234" s="14"/>
    </row>
    <row r="235" spans="1:8" x14ac:dyDescent="0.25">
      <c r="A235" s="263"/>
      <c r="B235" s="297"/>
      <c r="C235" s="17" t="s">
        <v>13</v>
      </c>
      <c r="D235" s="265">
        <v>6</v>
      </c>
      <c r="E235" s="98" t="s">
        <v>73</v>
      </c>
      <c r="F235" s="15">
        <v>27</v>
      </c>
      <c r="G235" s="16">
        <v>112</v>
      </c>
      <c r="H235" s="14"/>
    </row>
    <row r="236" spans="1:8" x14ac:dyDescent="0.25">
      <c r="A236" s="263"/>
      <c r="B236" s="297"/>
      <c r="C236" s="17" t="s">
        <v>13</v>
      </c>
      <c r="D236" s="264"/>
      <c r="E236" s="143" t="s">
        <v>283</v>
      </c>
      <c r="F236" s="15">
        <v>6</v>
      </c>
      <c r="G236" s="16"/>
      <c r="H236" s="14"/>
    </row>
    <row r="237" spans="1:8" x14ac:dyDescent="0.25">
      <c r="A237" s="263"/>
      <c r="B237" s="297"/>
      <c r="C237" s="19" t="s">
        <v>6</v>
      </c>
      <c r="D237" s="248">
        <v>5</v>
      </c>
      <c r="E237" s="98" t="s">
        <v>35</v>
      </c>
      <c r="F237" s="15">
        <v>18</v>
      </c>
      <c r="G237" s="16">
        <v>101</v>
      </c>
      <c r="H237" s="14"/>
    </row>
    <row r="238" spans="1:8" x14ac:dyDescent="0.25">
      <c r="A238" s="264"/>
      <c r="B238" s="298"/>
      <c r="C238" s="19" t="s">
        <v>6</v>
      </c>
      <c r="D238" s="248">
        <v>4</v>
      </c>
      <c r="E238" s="143" t="s">
        <v>283</v>
      </c>
      <c r="F238" s="15">
        <v>34</v>
      </c>
      <c r="G238" s="16" t="s">
        <v>194</v>
      </c>
      <c r="H238" s="14"/>
    </row>
    <row r="239" spans="1:8" x14ac:dyDescent="0.25">
      <c r="A239" s="287">
        <v>46120</v>
      </c>
      <c r="B239" s="321" t="s">
        <v>5</v>
      </c>
      <c r="C239" s="17" t="s">
        <v>6</v>
      </c>
      <c r="D239" s="265">
        <v>5</v>
      </c>
      <c r="E239" s="98" t="s">
        <v>71</v>
      </c>
      <c r="F239" s="15">
        <v>6</v>
      </c>
      <c r="G239" s="16">
        <v>116</v>
      </c>
      <c r="H239" s="14"/>
    </row>
    <row r="240" spans="1:8" x14ac:dyDescent="0.25">
      <c r="A240" s="288"/>
      <c r="B240" s="297"/>
      <c r="C240" s="17" t="s">
        <v>6</v>
      </c>
      <c r="D240" s="264"/>
      <c r="E240" s="98" t="s">
        <v>78</v>
      </c>
      <c r="F240" s="15">
        <v>6</v>
      </c>
      <c r="G240" s="16"/>
      <c r="H240" s="14"/>
    </row>
    <row r="241" spans="1:8" x14ac:dyDescent="0.25">
      <c r="A241" s="288"/>
      <c r="B241" s="297"/>
      <c r="C241" s="19" t="s">
        <v>6</v>
      </c>
      <c r="D241" s="248">
        <v>2</v>
      </c>
      <c r="E241" s="143" t="s">
        <v>256</v>
      </c>
      <c r="F241" s="15"/>
      <c r="G241" s="16">
        <v>112</v>
      </c>
      <c r="H241" s="14"/>
    </row>
    <row r="242" spans="1:8" x14ac:dyDescent="0.25">
      <c r="A242" s="288"/>
      <c r="B242" s="297"/>
      <c r="C242" s="19" t="s">
        <v>6</v>
      </c>
      <c r="D242" s="248">
        <v>2</v>
      </c>
      <c r="E242" s="153" t="s">
        <v>51</v>
      </c>
      <c r="F242" s="15"/>
      <c r="G242" s="16"/>
      <c r="H242" s="14"/>
    </row>
    <row r="243" spans="1:8" x14ac:dyDescent="0.25">
      <c r="A243" s="289"/>
      <c r="B243" s="298"/>
      <c r="C243" s="19" t="s">
        <v>6</v>
      </c>
      <c r="D243" s="248">
        <v>2</v>
      </c>
      <c r="E243" s="98" t="s">
        <v>229</v>
      </c>
      <c r="F243" s="15"/>
      <c r="G243" s="16"/>
      <c r="H243" s="14"/>
    </row>
    <row r="244" spans="1:8" x14ac:dyDescent="0.25">
      <c r="A244" s="287">
        <v>46121</v>
      </c>
      <c r="B244" s="321" t="s">
        <v>36</v>
      </c>
      <c r="C244" s="17" t="s">
        <v>6</v>
      </c>
      <c r="D244" s="265">
        <v>4</v>
      </c>
      <c r="E244" s="98" t="s">
        <v>71</v>
      </c>
      <c r="F244" s="15">
        <v>18</v>
      </c>
      <c r="G244" s="16" t="s">
        <v>165</v>
      </c>
      <c r="H244" s="14"/>
    </row>
    <row r="245" spans="1:8" x14ac:dyDescent="0.25">
      <c r="A245" s="263"/>
      <c r="B245" s="297"/>
      <c r="C245" s="19" t="s">
        <v>6</v>
      </c>
      <c r="D245" s="264"/>
      <c r="E245" s="98" t="s">
        <v>78</v>
      </c>
      <c r="F245" s="15">
        <v>18</v>
      </c>
      <c r="G245" s="16"/>
      <c r="H245" s="14"/>
    </row>
    <row r="246" spans="1:8" x14ac:dyDescent="0.25">
      <c r="A246" s="263"/>
      <c r="B246" s="297"/>
      <c r="C246" s="19" t="s">
        <v>6</v>
      </c>
      <c r="D246" s="248">
        <v>2</v>
      </c>
      <c r="E246" s="143" t="s">
        <v>256</v>
      </c>
      <c r="F246" s="15"/>
      <c r="G246" s="16" t="s">
        <v>38</v>
      </c>
      <c r="H246" s="14"/>
    </row>
    <row r="247" spans="1:8" x14ac:dyDescent="0.25">
      <c r="A247" s="263"/>
      <c r="B247" s="297"/>
      <c r="C247" s="17" t="s">
        <v>6</v>
      </c>
      <c r="D247" s="265">
        <v>4</v>
      </c>
      <c r="E247" s="143" t="s">
        <v>83</v>
      </c>
      <c r="F247" s="15">
        <v>10</v>
      </c>
      <c r="G247" s="16" t="s">
        <v>165</v>
      </c>
      <c r="H247" s="14"/>
    </row>
    <row r="248" spans="1:8" x14ac:dyDescent="0.25">
      <c r="A248" s="263"/>
      <c r="B248" s="297"/>
      <c r="C248" s="19" t="s">
        <v>6</v>
      </c>
      <c r="D248" s="264"/>
      <c r="E248" s="98" t="s">
        <v>58</v>
      </c>
      <c r="F248" s="15">
        <v>18</v>
      </c>
      <c r="G248" s="16"/>
      <c r="H248" s="14"/>
    </row>
    <row r="249" spans="1:8" x14ac:dyDescent="0.25">
      <c r="A249" s="263"/>
      <c r="B249" s="297"/>
      <c r="C249" s="17" t="s">
        <v>13</v>
      </c>
      <c r="D249" s="265">
        <v>2</v>
      </c>
      <c r="E249" s="98" t="s">
        <v>73</v>
      </c>
      <c r="F249" s="15">
        <v>6</v>
      </c>
      <c r="G249" s="16">
        <v>112</v>
      </c>
      <c r="H249" s="14"/>
    </row>
    <row r="250" spans="1:8" x14ac:dyDescent="0.25">
      <c r="A250" s="263"/>
      <c r="B250" s="297"/>
      <c r="C250" s="17" t="s">
        <v>13</v>
      </c>
      <c r="D250" s="264"/>
      <c r="E250" s="143" t="s">
        <v>80</v>
      </c>
      <c r="F250" s="15">
        <v>52</v>
      </c>
      <c r="G250" s="16"/>
      <c r="H250" s="14"/>
    </row>
    <row r="251" spans="1:8" x14ac:dyDescent="0.25">
      <c r="A251" s="263"/>
      <c r="B251" s="297"/>
      <c r="C251" s="17" t="s">
        <v>13</v>
      </c>
      <c r="D251" s="248">
        <v>2</v>
      </c>
      <c r="E251" s="143" t="s">
        <v>80</v>
      </c>
      <c r="F251" s="15">
        <v>52</v>
      </c>
      <c r="G251" s="16">
        <v>101</v>
      </c>
      <c r="H251" s="14"/>
    </row>
    <row r="252" spans="1:8" x14ac:dyDescent="0.25">
      <c r="A252" s="263"/>
      <c r="B252" s="297"/>
      <c r="C252" s="17" t="s">
        <v>6</v>
      </c>
      <c r="D252" s="265">
        <v>3</v>
      </c>
      <c r="E252" s="98" t="s">
        <v>35</v>
      </c>
      <c r="F252" s="15">
        <v>15</v>
      </c>
      <c r="G252" s="16" t="s">
        <v>167</v>
      </c>
      <c r="H252" s="14"/>
    </row>
    <row r="253" spans="1:8" x14ac:dyDescent="0.25">
      <c r="A253" s="264"/>
      <c r="B253" s="298"/>
      <c r="C253" s="17" t="s">
        <v>6</v>
      </c>
      <c r="D253" s="264"/>
      <c r="E253" s="143" t="s">
        <v>93</v>
      </c>
      <c r="F253" s="15">
        <v>3</v>
      </c>
      <c r="G253" s="16"/>
      <c r="H253" s="14"/>
    </row>
    <row r="254" spans="1:8" x14ac:dyDescent="0.25">
      <c r="A254" s="287">
        <v>46121</v>
      </c>
      <c r="B254" s="321" t="s">
        <v>5</v>
      </c>
      <c r="C254" s="17" t="s">
        <v>6</v>
      </c>
      <c r="D254" s="265">
        <v>5</v>
      </c>
      <c r="E254" s="98" t="s">
        <v>58</v>
      </c>
      <c r="F254" s="15">
        <v>24</v>
      </c>
      <c r="G254" s="16" t="s">
        <v>194</v>
      </c>
      <c r="H254" s="14"/>
    </row>
    <row r="255" spans="1:8" x14ac:dyDescent="0.25">
      <c r="A255" s="288"/>
      <c r="B255" s="297"/>
      <c r="C255" s="17" t="s">
        <v>6</v>
      </c>
      <c r="D255" s="263"/>
      <c r="E255" s="143" t="s">
        <v>283</v>
      </c>
      <c r="F255" s="15">
        <v>26</v>
      </c>
      <c r="G255" s="16"/>
      <c r="H255" s="14"/>
    </row>
    <row r="256" spans="1:8" x14ac:dyDescent="0.25">
      <c r="A256" s="288"/>
      <c r="B256" s="297"/>
      <c r="C256" s="17" t="s">
        <v>6</v>
      </c>
      <c r="D256" s="263"/>
      <c r="E256" s="98" t="s">
        <v>79</v>
      </c>
      <c r="F256" s="15">
        <v>3</v>
      </c>
      <c r="G256" s="16"/>
      <c r="H256" s="14"/>
    </row>
    <row r="257" spans="1:8" x14ac:dyDescent="0.25">
      <c r="A257" s="288"/>
      <c r="B257" s="297"/>
      <c r="C257" s="17" t="s">
        <v>6</v>
      </c>
      <c r="D257" s="264"/>
      <c r="E257" s="98" t="s">
        <v>97</v>
      </c>
      <c r="F257" s="15">
        <v>3</v>
      </c>
      <c r="G257" s="16"/>
      <c r="H257" s="14"/>
    </row>
    <row r="258" spans="1:8" x14ac:dyDescent="0.25">
      <c r="A258" s="288"/>
      <c r="B258" s="297"/>
      <c r="C258" s="19" t="s">
        <v>6</v>
      </c>
      <c r="D258" s="248">
        <v>3</v>
      </c>
      <c r="E258" s="143" t="s">
        <v>456</v>
      </c>
      <c r="F258" s="15">
        <v>40</v>
      </c>
      <c r="G258" s="16">
        <v>116</v>
      </c>
      <c r="H258" s="14"/>
    </row>
    <row r="259" spans="1:8" x14ac:dyDescent="0.25">
      <c r="A259" s="288"/>
      <c r="B259" s="297"/>
      <c r="C259" s="19" t="s">
        <v>6</v>
      </c>
      <c r="D259" s="248">
        <v>4</v>
      </c>
      <c r="E259" s="98" t="s">
        <v>73</v>
      </c>
      <c r="F259" s="15">
        <v>12</v>
      </c>
      <c r="G259" s="16">
        <v>112</v>
      </c>
      <c r="H259" s="14"/>
    </row>
    <row r="260" spans="1:8" x14ac:dyDescent="0.25">
      <c r="A260" s="288"/>
      <c r="B260" s="297"/>
      <c r="C260" s="19" t="s">
        <v>6</v>
      </c>
      <c r="D260" s="248">
        <v>4</v>
      </c>
      <c r="E260" s="98" t="s">
        <v>35</v>
      </c>
      <c r="F260" s="15">
        <v>20</v>
      </c>
      <c r="G260" s="16" t="s">
        <v>171</v>
      </c>
      <c r="H260" s="14"/>
    </row>
    <row r="261" spans="1:8" x14ac:dyDescent="0.25">
      <c r="A261" s="288"/>
      <c r="B261" s="297"/>
      <c r="C261" s="17" t="s">
        <v>6</v>
      </c>
      <c r="D261" s="265">
        <v>5</v>
      </c>
      <c r="E261" s="98" t="s">
        <v>87</v>
      </c>
      <c r="F261" s="15">
        <v>10</v>
      </c>
      <c r="G261" s="16">
        <v>117</v>
      </c>
      <c r="H261" s="14"/>
    </row>
    <row r="262" spans="1:8" x14ac:dyDescent="0.25">
      <c r="A262" s="288"/>
      <c r="B262" s="297"/>
      <c r="C262" s="17" t="s">
        <v>6</v>
      </c>
      <c r="D262" s="264"/>
      <c r="E262" s="98" t="s">
        <v>73</v>
      </c>
      <c r="F262" s="15">
        <v>12</v>
      </c>
      <c r="G262" s="16"/>
      <c r="H262" s="14"/>
    </row>
    <row r="263" spans="1:8" x14ac:dyDescent="0.25">
      <c r="A263" s="288"/>
      <c r="B263" s="297"/>
      <c r="C263" s="19" t="s">
        <v>6</v>
      </c>
      <c r="D263" s="248">
        <v>5</v>
      </c>
      <c r="E263" s="98" t="s">
        <v>58</v>
      </c>
      <c r="F263" s="15">
        <v>27</v>
      </c>
      <c r="G263" s="16" t="s">
        <v>165</v>
      </c>
      <c r="H263" s="14"/>
    </row>
    <row r="264" spans="1:8" x14ac:dyDescent="0.25">
      <c r="A264" s="288"/>
      <c r="B264" s="297"/>
      <c r="C264" s="19" t="s">
        <v>6</v>
      </c>
      <c r="D264" s="248">
        <v>2</v>
      </c>
      <c r="E264" s="143" t="s">
        <v>256</v>
      </c>
      <c r="F264" s="15"/>
      <c r="G264" s="16">
        <v>117</v>
      </c>
      <c r="H264" s="14"/>
    </row>
    <row r="265" spans="1:8" x14ac:dyDescent="0.25">
      <c r="A265" s="289"/>
      <c r="B265" s="298"/>
      <c r="C265" s="19" t="s">
        <v>6</v>
      </c>
      <c r="D265" s="248">
        <v>2</v>
      </c>
      <c r="E265" s="98" t="s">
        <v>229</v>
      </c>
      <c r="F265" s="15"/>
      <c r="G265" s="16"/>
      <c r="H265" s="14"/>
    </row>
    <row r="266" spans="1:8" x14ac:dyDescent="0.25">
      <c r="A266" s="287">
        <v>46122</v>
      </c>
      <c r="B266" s="321" t="s">
        <v>36</v>
      </c>
      <c r="C266" s="17" t="s">
        <v>6</v>
      </c>
      <c r="D266" s="265">
        <v>4</v>
      </c>
      <c r="E266" s="143" t="s">
        <v>80</v>
      </c>
      <c r="F266" s="15">
        <v>12</v>
      </c>
      <c r="G266" s="16" t="s">
        <v>171</v>
      </c>
      <c r="H266" s="14" t="s">
        <v>39</v>
      </c>
    </row>
    <row r="267" spans="1:8" x14ac:dyDescent="0.25">
      <c r="A267" s="263"/>
      <c r="B267" s="297"/>
      <c r="C267" s="19" t="s">
        <v>6</v>
      </c>
      <c r="D267" s="264"/>
      <c r="E267" s="143" t="s">
        <v>93</v>
      </c>
      <c r="F267" s="15">
        <v>3</v>
      </c>
      <c r="G267" s="16"/>
      <c r="H267" s="14"/>
    </row>
    <row r="268" spans="1:8" x14ac:dyDescent="0.25">
      <c r="A268" s="263"/>
      <c r="B268" s="297"/>
      <c r="C268" s="17" t="s">
        <v>6</v>
      </c>
      <c r="D268" s="265">
        <v>2</v>
      </c>
      <c r="E268" s="143" t="s">
        <v>26</v>
      </c>
      <c r="F268" s="15">
        <v>15</v>
      </c>
      <c r="G268" s="16" t="s">
        <v>40</v>
      </c>
      <c r="H268" s="14"/>
    </row>
    <row r="269" spans="1:8" x14ac:dyDescent="0.25">
      <c r="A269" s="263"/>
      <c r="B269" s="297"/>
      <c r="C269" s="19" t="s">
        <v>6</v>
      </c>
      <c r="D269" s="264"/>
      <c r="E269" s="181" t="s">
        <v>41</v>
      </c>
      <c r="F269" s="15">
        <v>15</v>
      </c>
      <c r="G269" s="16" t="s">
        <v>40</v>
      </c>
      <c r="H269" s="14"/>
    </row>
    <row r="270" spans="1:8" x14ac:dyDescent="0.25">
      <c r="A270" s="263"/>
      <c r="B270" s="297"/>
      <c r="C270" s="17" t="s">
        <v>13</v>
      </c>
      <c r="D270" s="265">
        <v>3</v>
      </c>
      <c r="E270" s="143" t="s">
        <v>42</v>
      </c>
      <c r="F270" s="15">
        <v>9</v>
      </c>
      <c r="G270" s="16">
        <v>101</v>
      </c>
      <c r="H270" s="14"/>
    </row>
    <row r="271" spans="1:8" x14ac:dyDescent="0.25">
      <c r="A271" s="263"/>
      <c r="B271" s="297"/>
      <c r="C271" s="17" t="s">
        <v>13</v>
      </c>
      <c r="D271" s="263"/>
      <c r="E271" s="98" t="s">
        <v>474</v>
      </c>
      <c r="F271" s="15">
        <v>34</v>
      </c>
      <c r="G271" s="16"/>
      <c r="H271" s="14"/>
    </row>
    <row r="272" spans="1:8" x14ac:dyDescent="0.25">
      <c r="A272" s="263"/>
      <c r="B272" s="297"/>
      <c r="C272" s="17" t="s">
        <v>13</v>
      </c>
      <c r="D272" s="263"/>
      <c r="E272" s="98" t="s">
        <v>87</v>
      </c>
      <c r="F272" s="15">
        <v>18</v>
      </c>
      <c r="G272" s="16"/>
      <c r="H272" s="14"/>
    </row>
    <row r="273" spans="1:8" x14ac:dyDescent="0.25">
      <c r="A273" s="263"/>
      <c r="B273" s="297"/>
      <c r="C273" s="17" t="s">
        <v>6</v>
      </c>
      <c r="D273" s="263"/>
      <c r="E273" s="98" t="s">
        <v>73</v>
      </c>
      <c r="F273" s="15">
        <v>15</v>
      </c>
      <c r="G273" s="16" t="s">
        <v>165</v>
      </c>
      <c r="H273" s="14"/>
    </row>
    <row r="274" spans="1:8" x14ac:dyDescent="0.25">
      <c r="A274" s="263"/>
      <c r="B274" s="297"/>
      <c r="C274" s="17" t="s">
        <v>6</v>
      </c>
      <c r="D274" s="263"/>
      <c r="E274" s="98" t="s">
        <v>78</v>
      </c>
      <c r="F274" s="15">
        <v>15</v>
      </c>
      <c r="G274" s="16"/>
      <c r="H274" s="14"/>
    </row>
    <row r="275" spans="1:8" x14ac:dyDescent="0.25">
      <c r="A275" s="263"/>
      <c r="B275" s="297"/>
      <c r="C275" s="17" t="s">
        <v>6</v>
      </c>
      <c r="D275" s="264"/>
      <c r="E275" s="143" t="s">
        <v>42</v>
      </c>
      <c r="F275" s="15">
        <v>8</v>
      </c>
      <c r="G275" s="16"/>
      <c r="H275" s="14"/>
    </row>
    <row r="276" spans="1:8" x14ac:dyDescent="0.25">
      <c r="A276" s="263"/>
      <c r="B276" s="297"/>
      <c r="C276" s="17" t="s">
        <v>6</v>
      </c>
      <c r="D276" s="265" t="s">
        <v>43</v>
      </c>
      <c r="E276" s="143" t="s">
        <v>256</v>
      </c>
      <c r="F276" s="15">
        <v>4</v>
      </c>
      <c r="G276" s="16">
        <v>101</v>
      </c>
      <c r="H276" s="14"/>
    </row>
    <row r="277" spans="1:8" x14ac:dyDescent="0.25">
      <c r="A277" s="263"/>
      <c r="B277" s="297"/>
      <c r="C277" s="17" t="s">
        <v>6</v>
      </c>
      <c r="D277" s="264"/>
      <c r="E277" s="143" t="s">
        <v>80</v>
      </c>
      <c r="F277" s="15"/>
      <c r="G277" s="16"/>
      <c r="H277" s="14"/>
    </row>
    <row r="278" spans="1:8" x14ac:dyDescent="0.25">
      <c r="A278" s="263"/>
      <c r="B278" s="297"/>
      <c r="C278" s="17" t="s">
        <v>13</v>
      </c>
      <c r="D278" s="265" t="s">
        <v>43</v>
      </c>
      <c r="E278" s="98" t="s">
        <v>87</v>
      </c>
      <c r="F278" s="15">
        <v>3</v>
      </c>
      <c r="G278" s="16">
        <v>111</v>
      </c>
      <c r="H278" s="14"/>
    </row>
    <row r="279" spans="1:8" x14ac:dyDescent="0.25">
      <c r="A279" s="263"/>
      <c r="B279" s="297"/>
      <c r="C279" s="17" t="s">
        <v>13</v>
      </c>
      <c r="D279" s="264"/>
      <c r="E279" s="143" t="s">
        <v>42</v>
      </c>
      <c r="F279" s="15">
        <v>4</v>
      </c>
      <c r="G279" s="16"/>
      <c r="H279" s="14"/>
    </row>
    <row r="280" spans="1:8" x14ac:dyDescent="0.25">
      <c r="A280" s="264"/>
      <c r="B280" s="298"/>
      <c r="C280" s="17" t="s">
        <v>13</v>
      </c>
      <c r="D280" s="248" t="s">
        <v>44</v>
      </c>
      <c r="E280" s="98" t="s">
        <v>218</v>
      </c>
      <c r="F280" s="15"/>
      <c r="G280" s="16"/>
      <c r="H280" s="14"/>
    </row>
    <row r="281" spans="1:8" x14ac:dyDescent="0.25">
      <c r="A281" s="287">
        <v>46122</v>
      </c>
      <c r="B281" s="321" t="s">
        <v>5</v>
      </c>
      <c r="C281" s="17" t="s">
        <v>6</v>
      </c>
      <c r="D281" s="265" t="s">
        <v>45</v>
      </c>
      <c r="E281" s="98" t="s">
        <v>73</v>
      </c>
      <c r="F281" s="15">
        <v>12</v>
      </c>
      <c r="G281" s="16" t="s">
        <v>179</v>
      </c>
      <c r="H281" s="14"/>
    </row>
    <row r="282" spans="1:8" x14ac:dyDescent="0.25">
      <c r="A282" s="288"/>
      <c r="B282" s="297"/>
      <c r="C282" s="17" t="s">
        <v>6</v>
      </c>
      <c r="D282" s="264"/>
      <c r="E282" s="98" t="s">
        <v>87</v>
      </c>
      <c r="F282" s="15">
        <v>6</v>
      </c>
      <c r="G282" s="16"/>
      <c r="H282" s="14"/>
    </row>
    <row r="283" spans="1:8" x14ac:dyDescent="0.25">
      <c r="A283" s="289"/>
      <c r="B283" s="298"/>
      <c r="C283" s="17" t="s">
        <v>6</v>
      </c>
      <c r="D283" s="248" t="s">
        <v>43</v>
      </c>
      <c r="E283" s="98" t="s">
        <v>229</v>
      </c>
      <c r="F283" s="15"/>
      <c r="G283" s="16"/>
      <c r="H283" s="14"/>
    </row>
    <row r="284" spans="1:8" x14ac:dyDescent="0.25">
      <c r="A284" s="287">
        <v>46122</v>
      </c>
      <c r="B284" s="321" t="s">
        <v>5</v>
      </c>
      <c r="C284" s="17" t="s">
        <v>6</v>
      </c>
      <c r="D284" s="265" t="s">
        <v>45</v>
      </c>
      <c r="E284" s="98" t="s">
        <v>73</v>
      </c>
      <c r="F284" s="15">
        <v>12</v>
      </c>
      <c r="G284" s="16" t="s">
        <v>179</v>
      </c>
      <c r="H284" s="14"/>
    </row>
    <row r="285" spans="1:8" x14ac:dyDescent="0.25">
      <c r="A285" s="289"/>
      <c r="B285" s="298"/>
      <c r="C285" s="17" t="s">
        <v>6</v>
      </c>
      <c r="D285" s="264"/>
      <c r="E285" s="98" t="s">
        <v>87</v>
      </c>
      <c r="F285" s="15">
        <v>6</v>
      </c>
      <c r="G285" s="16"/>
      <c r="H285" s="14"/>
    </row>
    <row r="286" spans="1:8" x14ac:dyDescent="0.25">
      <c r="A286" s="287">
        <v>46122</v>
      </c>
      <c r="B286" s="321" t="s">
        <v>5</v>
      </c>
      <c r="C286" s="17" t="s">
        <v>13</v>
      </c>
      <c r="D286" s="265" t="s">
        <v>45</v>
      </c>
      <c r="E286" s="143" t="s">
        <v>283</v>
      </c>
      <c r="F286" s="15">
        <v>16</v>
      </c>
      <c r="G286" s="16" t="s">
        <v>194</v>
      </c>
      <c r="H286" s="14"/>
    </row>
    <row r="287" spans="1:8" x14ac:dyDescent="0.25">
      <c r="A287" s="289"/>
      <c r="B287" s="298"/>
      <c r="C287" s="17" t="s">
        <v>13</v>
      </c>
      <c r="D287" s="264"/>
      <c r="E287" s="98" t="s">
        <v>58</v>
      </c>
      <c r="F287" s="15">
        <v>24</v>
      </c>
      <c r="G287" s="16"/>
      <c r="H287" s="14"/>
    </row>
    <row r="288" spans="1:8" x14ac:dyDescent="0.25">
      <c r="A288" s="18">
        <v>46122</v>
      </c>
      <c r="B288" s="83" t="s">
        <v>5</v>
      </c>
      <c r="C288" s="19" t="s">
        <v>13</v>
      </c>
      <c r="D288" s="248" t="s">
        <v>46</v>
      </c>
      <c r="E288" s="98" t="s">
        <v>58</v>
      </c>
      <c r="F288" s="15">
        <v>54</v>
      </c>
      <c r="G288" s="16" t="s">
        <v>165</v>
      </c>
      <c r="H288" s="14"/>
    </row>
    <row r="289" spans="1:8" x14ac:dyDescent="0.25">
      <c r="A289" s="18">
        <v>46122</v>
      </c>
      <c r="B289" s="83" t="s">
        <v>5</v>
      </c>
      <c r="C289" s="19" t="s">
        <v>6</v>
      </c>
      <c r="D289" s="248" t="s">
        <v>45</v>
      </c>
      <c r="E289" s="98" t="s">
        <v>35</v>
      </c>
      <c r="F289" s="15">
        <v>22</v>
      </c>
      <c r="G289" s="16" t="s">
        <v>171</v>
      </c>
      <c r="H289" s="14"/>
    </row>
    <row r="290" spans="1:8" x14ac:dyDescent="0.25">
      <c r="A290" s="18">
        <v>46122</v>
      </c>
      <c r="B290" s="83" t="s">
        <v>5</v>
      </c>
      <c r="C290" s="19" t="s">
        <v>6</v>
      </c>
      <c r="D290" s="248" t="s">
        <v>43</v>
      </c>
      <c r="E290" s="143" t="s">
        <v>256</v>
      </c>
      <c r="F290" s="15"/>
      <c r="G290" s="16">
        <v>101</v>
      </c>
      <c r="H290" s="14"/>
    </row>
    <row r="291" spans="1:8" x14ac:dyDescent="0.25">
      <c r="A291" s="18">
        <v>46122</v>
      </c>
      <c r="B291" s="83" t="s">
        <v>5</v>
      </c>
      <c r="C291" s="19" t="s">
        <v>6</v>
      </c>
      <c r="D291" s="248" t="s">
        <v>43</v>
      </c>
      <c r="E291" s="98" t="s">
        <v>308</v>
      </c>
      <c r="F291" s="15">
        <v>27</v>
      </c>
      <c r="G291" s="16" t="s">
        <v>153</v>
      </c>
      <c r="H291" s="14"/>
    </row>
    <row r="292" spans="1:8" x14ac:dyDescent="0.25">
      <c r="A292" s="287">
        <v>46122</v>
      </c>
      <c r="B292" s="321" t="s">
        <v>5</v>
      </c>
      <c r="C292" s="17" t="s">
        <v>13</v>
      </c>
      <c r="D292" s="265" t="s">
        <v>47</v>
      </c>
      <c r="E292" s="98" t="s">
        <v>73</v>
      </c>
      <c r="F292" s="15">
        <v>12</v>
      </c>
      <c r="G292" s="16">
        <v>112</v>
      </c>
      <c r="H292" s="14"/>
    </row>
    <row r="293" spans="1:8" x14ac:dyDescent="0.25">
      <c r="A293" s="289"/>
      <c r="B293" s="298"/>
      <c r="C293" s="17" t="s">
        <v>13</v>
      </c>
      <c r="D293" s="264"/>
      <c r="E293" s="98" t="s">
        <v>87</v>
      </c>
      <c r="F293" s="15">
        <v>3</v>
      </c>
      <c r="G293" s="16"/>
      <c r="H293" s="14"/>
    </row>
    <row r="294" spans="1:8" x14ac:dyDescent="0.25">
      <c r="A294" s="18">
        <v>46122</v>
      </c>
      <c r="B294" s="83" t="s">
        <v>5</v>
      </c>
      <c r="C294" s="17" t="s">
        <v>13</v>
      </c>
      <c r="D294" s="248" t="s">
        <v>43</v>
      </c>
      <c r="E294" s="98" t="s">
        <v>229</v>
      </c>
      <c r="F294" s="15"/>
      <c r="G294" s="16"/>
      <c r="H294" s="14"/>
    </row>
    <row r="295" spans="1:8" x14ac:dyDescent="0.25">
      <c r="A295" s="287">
        <v>46123</v>
      </c>
      <c r="B295" s="321" t="s">
        <v>36</v>
      </c>
      <c r="C295" s="17" t="s">
        <v>13</v>
      </c>
      <c r="D295" s="265">
        <v>14</v>
      </c>
      <c r="E295" s="143" t="s">
        <v>456</v>
      </c>
      <c r="F295" s="15">
        <v>179</v>
      </c>
      <c r="G295" s="16">
        <v>116</v>
      </c>
      <c r="H295" s="14"/>
    </row>
    <row r="296" spans="1:8" x14ac:dyDescent="0.25">
      <c r="A296" s="288"/>
      <c r="B296" s="297"/>
      <c r="C296" s="17" t="s">
        <v>13</v>
      </c>
      <c r="D296" s="264"/>
      <c r="E296" s="143" t="s">
        <v>89</v>
      </c>
      <c r="F296" s="15">
        <v>105</v>
      </c>
      <c r="G296" s="16"/>
      <c r="H296" s="14"/>
    </row>
    <row r="297" spans="1:8" x14ac:dyDescent="0.25">
      <c r="A297" s="288"/>
      <c r="B297" s="297"/>
      <c r="C297" s="19" t="s">
        <v>6</v>
      </c>
      <c r="D297" s="248" t="s">
        <v>43</v>
      </c>
      <c r="E297" s="143" t="s">
        <v>256</v>
      </c>
      <c r="F297" s="15">
        <v>2</v>
      </c>
      <c r="G297" s="16">
        <v>101</v>
      </c>
      <c r="H297" s="14"/>
    </row>
    <row r="298" spans="1:8" x14ac:dyDescent="0.25">
      <c r="A298" s="288"/>
      <c r="B298" s="297"/>
      <c r="C298" s="17" t="s">
        <v>6</v>
      </c>
      <c r="D298" s="265" t="s">
        <v>43</v>
      </c>
      <c r="E298" s="98" t="s">
        <v>35</v>
      </c>
      <c r="F298" s="15">
        <v>10</v>
      </c>
      <c r="G298" s="16">
        <v>116</v>
      </c>
      <c r="H298" s="14"/>
    </row>
    <row r="299" spans="1:8" x14ac:dyDescent="0.25">
      <c r="A299" s="288"/>
      <c r="B299" s="297"/>
      <c r="C299" s="17" t="s">
        <v>6</v>
      </c>
      <c r="D299" s="263"/>
      <c r="E299" s="96" t="s">
        <v>242</v>
      </c>
      <c r="F299" s="15">
        <v>4</v>
      </c>
      <c r="G299" s="16"/>
      <c r="H299" s="14"/>
    </row>
    <row r="300" spans="1:8" x14ac:dyDescent="0.25">
      <c r="A300" s="289"/>
      <c r="B300" s="298"/>
      <c r="C300" s="17" t="s">
        <v>6</v>
      </c>
      <c r="D300" s="264"/>
      <c r="E300" s="143" t="s">
        <v>92</v>
      </c>
      <c r="F300" s="15">
        <v>3</v>
      </c>
      <c r="G300" s="16"/>
      <c r="H300" s="14"/>
    </row>
    <row r="301" spans="1:8" x14ac:dyDescent="0.25">
      <c r="A301" s="287">
        <v>46123</v>
      </c>
      <c r="B301" s="321" t="s">
        <v>5</v>
      </c>
      <c r="C301" s="17" t="s">
        <v>6</v>
      </c>
      <c r="D301" s="265" t="s">
        <v>45</v>
      </c>
      <c r="E301" s="143" t="s">
        <v>80</v>
      </c>
      <c r="F301" s="15">
        <v>45</v>
      </c>
      <c r="G301" s="16">
        <v>116</v>
      </c>
      <c r="H301" s="14"/>
    </row>
    <row r="302" spans="1:8" x14ac:dyDescent="0.25">
      <c r="A302" s="288"/>
      <c r="B302" s="297"/>
      <c r="C302" s="17" t="s">
        <v>6</v>
      </c>
      <c r="D302" s="263"/>
      <c r="E302" s="98" t="s">
        <v>35</v>
      </c>
      <c r="F302" s="15">
        <v>10</v>
      </c>
      <c r="G302" s="16"/>
      <c r="H302" s="14"/>
    </row>
    <row r="303" spans="1:8" x14ac:dyDescent="0.25">
      <c r="A303" s="288"/>
      <c r="B303" s="297"/>
      <c r="C303" s="17" t="s">
        <v>6</v>
      </c>
      <c r="D303" s="264"/>
      <c r="E303" s="143" t="s">
        <v>93</v>
      </c>
      <c r="F303" s="15">
        <v>4</v>
      </c>
      <c r="G303" s="16"/>
      <c r="H303" s="14"/>
    </row>
    <row r="304" spans="1:8" x14ac:dyDescent="0.25">
      <c r="A304" s="288"/>
      <c r="B304" s="297"/>
      <c r="C304" s="17" t="s">
        <v>6</v>
      </c>
      <c r="D304" s="265" t="s">
        <v>45</v>
      </c>
      <c r="E304" s="143" t="s">
        <v>26</v>
      </c>
      <c r="F304" s="15">
        <v>41</v>
      </c>
      <c r="G304" s="16" t="s">
        <v>164</v>
      </c>
      <c r="H304" s="14"/>
    </row>
    <row r="305" spans="1:8" x14ac:dyDescent="0.25">
      <c r="A305" s="288"/>
      <c r="B305" s="297"/>
      <c r="C305" s="17" t="s">
        <v>6</v>
      </c>
      <c r="D305" s="263"/>
      <c r="E305" s="143" t="s">
        <v>271</v>
      </c>
      <c r="F305" s="15">
        <v>41</v>
      </c>
      <c r="G305" s="16"/>
      <c r="H305" s="14"/>
    </row>
    <row r="306" spans="1:8" x14ac:dyDescent="0.25">
      <c r="A306" s="288"/>
      <c r="B306" s="297"/>
      <c r="C306" s="17" t="s">
        <v>6</v>
      </c>
      <c r="D306" s="264"/>
      <c r="E306" s="143" t="s">
        <v>93</v>
      </c>
      <c r="F306" s="15">
        <v>5</v>
      </c>
      <c r="G306" s="16"/>
      <c r="H306" s="14"/>
    </row>
    <row r="307" spans="1:8" x14ac:dyDescent="0.25">
      <c r="A307" s="288"/>
      <c r="B307" s="297"/>
      <c r="C307" s="17" t="s">
        <v>6</v>
      </c>
      <c r="D307" s="265" t="s">
        <v>47</v>
      </c>
      <c r="E307" s="98" t="s">
        <v>308</v>
      </c>
      <c r="F307" s="15">
        <v>30</v>
      </c>
      <c r="G307" s="16"/>
      <c r="H307" s="14"/>
    </row>
    <row r="308" spans="1:8" x14ac:dyDescent="0.25">
      <c r="A308" s="288"/>
      <c r="B308" s="297"/>
      <c r="C308" s="17" t="s">
        <v>6</v>
      </c>
      <c r="D308" s="264"/>
      <c r="E308" s="96" t="s">
        <v>206</v>
      </c>
      <c r="F308" s="15">
        <v>10</v>
      </c>
      <c r="G308" s="16"/>
      <c r="H308" s="14"/>
    </row>
    <row r="309" spans="1:8" x14ac:dyDescent="0.25">
      <c r="A309" s="288"/>
      <c r="B309" s="297"/>
      <c r="C309" s="17" t="s">
        <v>13</v>
      </c>
      <c r="D309" s="265" t="s">
        <v>45</v>
      </c>
      <c r="E309" s="143" t="s">
        <v>283</v>
      </c>
      <c r="F309" s="15">
        <v>40</v>
      </c>
      <c r="G309" s="16">
        <v>116</v>
      </c>
      <c r="H309" s="14"/>
    </row>
    <row r="310" spans="1:8" x14ac:dyDescent="0.25">
      <c r="A310" s="288"/>
      <c r="B310" s="297"/>
      <c r="C310" s="17" t="s">
        <v>13</v>
      </c>
      <c r="D310" s="263"/>
      <c r="E310" s="96" t="s">
        <v>309</v>
      </c>
      <c r="F310" s="15">
        <v>20</v>
      </c>
      <c r="G310" s="16"/>
      <c r="H310" s="14"/>
    </row>
    <row r="311" spans="1:8" x14ac:dyDescent="0.25">
      <c r="A311" s="288"/>
      <c r="B311" s="297"/>
      <c r="C311" s="17" t="s">
        <v>13</v>
      </c>
      <c r="D311" s="264"/>
      <c r="E311" s="143" t="s">
        <v>208</v>
      </c>
      <c r="F311" s="15">
        <v>18</v>
      </c>
      <c r="G311" s="16"/>
      <c r="H311" s="14"/>
    </row>
    <row r="312" spans="1:8" x14ac:dyDescent="0.25">
      <c r="A312" s="288"/>
      <c r="B312" s="297"/>
      <c r="C312" s="17" t="s">
        <v>6</v>
      </c>
      <c r="D312" s="265" t="s">
        <v>48</v>
      </c>
      <c r="E312" s="143" t="s">
        <v>256</v>
      </c>
      <c r="F312" s="15">
        <v>2</v>
      </c>
      <c r="G312" s="16">
        <v>101</v>
      </c>
      <c r="H312" s="14"/>
    </row>
    <row r="313" spans="1:8" x14ac:dyDescent="0.25">
      <c r="A313" s="288"/>
      <c r="B313" s="297"/>
      <c r="C313" s="17" t="s">
        <v>6</v>
      </c>
      <c r="D313" s="263"/>
      <c r="E313" s="143" t="s">
        <v>26</v>
      </c>
      <c r="F313" s="15">
        <v>20</v>
      </c>
      <c r="G313" s="16"/>
      <c r="H313" s="14"/>
    </row>
    <row r="314" spans="1:8" x14ac:dyDescent="0.25">
      <c r="A314" s="288"/>
      <c r="B314" s="297"/>
      <c r="C314" s="17" t="s">
        <v>6</v>
      </c>
      <c r="D314" s="263"/>
      <c r="E314" s="143" t="s">
        <v>271</v>
      </c>
      <c r="F314" s="15">
        <v>20</v>
      </c>
      <c r="G314" s="16"/>
      <c r="H314" s="14"/>
    </row>
    <row r="315" spans="1:8" x14ac:dyDescent="0.25">
      <c r="A315" s="288"/>
      <c r="B315" s="297"/>
      <c r="C315" s="17" t="s">
        <v>6</v>
      </c>
      <c r="D315" s="264"/>
      <c r="E315" s="143" t="s">
        <v>93</v>
      </c>
      <c r="F315" s="15">
        <v>3</v>
      </c>
      <c r="G315" s="16"/>
      <c r="H315" s="14"/>
    </row>
    <row r="316" spans="1:8" x14ac:dyDescent="0.25">
      <c r="A316" s="288"/>
      <c r="B316" s="297"/>
      <c r="C316" s="17" t="s">
        <v>6</v>
      </c>
      <c r="D316" s="265" t="s">
        <v>49</v>
      </c>
      <c r="E316" s="143" t="s">
        <v>26</v>
      </c>
      <c r="F316" s="15">
        <v>30</v>
      </c>
      <c r="G316" s="16" t="s">
        <v>40</v>
      </c>
      <c r="H316" s="14"/>
    </row>
    <row r="317" spans="1:8" x14ac:dyDescent="0.25">
      <c r="A317" s="288"/>
      <c r="B317" s="297"/>
      <c r="C317" s="17" t="s">
        <v>6</v>
      </c>
      <c r="D317" s="264"/>
      <c r="E317" s="181" t="s">
        <v>41</v>
      </c>
      <c r="F317" s="15">
        <v>30</v>
      </c>
      <c r="G317" s="16" t="s">
        <v>40</v>
      </c>
      <c r="H317" s="14"/>
    </row>
    <row r="318" spans="1:8" x14ac:dyDescent="0.25">
      <c r="A318" s="289"/>
      <c r="B318" s="298"/>
      <c r="C318" s="17" t="s">
        <v>6</v>
      </c>
      <c r="D318" s="248" t="s">
        <v>43</v>
      </c>
      <c r="E318" s="98" t="s">
        <v>229</v>
      </c>
      <c r="F318" s="15"/>
      <c r="G318" s="16"/>
      <c r="H318" s="14"/>
    </row>
    <row r="319" spans="1:8" x14ac:dyDescent="0.25">
      <c r="A319" s="287">
        <v>46124</v>
      </c>
      <c r="B319" s="321" t="s">
        <v>36</v>
      </c>
      <c r="C319" s="17" t="s">
        <v>6</v>
      </c>
      <c r="D319" s="265" t="s">
        <v>47</v>
      </c>
      <c r="E319" s="143" t="s">
        <v>80</v>
      </c>
      <c r="F319" s="15">
        <v>14</v>
      </c>
      <c r="G319" s="16" t="s">
        <v>171</v>
      </c>
      <c r="H319" s="14"/>
    </row>
    <row r="320" spans="1:8" x14ac:dyDescent="0.25">
      <c r="A320" s="263"/>
      <c r="B320" s="297"/>
      <c r="C320" s="17" t="s">
        <v>6</v>
      </c>
      <c r="D320" s="263"/>
      <c r="E320" s="96" t="s">
        <v>242</v>
      </c>
      <c r="F320" s="15">
        <v>6</v>
      </c>
      <c r="G320" s="16"/>
      <c r="H320" s="14"/>
    </row>
    <row r="321" spans="1:8" x14ac:dyDescent="0.25">
      <c r="A321" s="263"/>
      <c r="B321" s="297"/>
      <c r="C321" s="17" t="s">
        <v>6</v>
      </c>
      <c r="D321" s="263"/>
      <c r="E321" s="98" t="s">
        <v>35</v>
      </c>
      <c r="F321" s="15">
        <v>14</v>
      </c>
      <c r="G321" s="16"/>
      <c r="H321" s="14"/>
    </row>
    <row r="322" spans="1:8" x14ac:dyDescent="0.25">
      <c r="A322" s="263"/>
      <c r="B322" s="297"/>
      <c r="C322" s="17" t="s">
        <v>6</v>
      </c>
      <c r="D322" s="264"/>
      <c r="E322" s="143" t="s">
        <v>93</v>
      </c>
      <c r="F322" s="15">
        <v>3</v>
      </c>
      <c r="G322" s="16"/>
      <c r="H322" s="14"/>
    </row>
    <row r="323" spans="1:8" x14ac:dyDescent="0.25">
      <c r="A323" s="263"/>
      <c r="B323" s="297"/>
      <c r="C323" s="17" t="s">
        <v>6</v>
      </c>
      <c r="D323" s="265" t="s">
        <v>48</v>
      </c>
      <c r="E323" s="143" t="s">
        <v>26</v>
      </c>
      <c r="F323" s="15">
        <v>80</v>
      </c>
      <c r="G323" s="16" t="s">
        <v>195</v>
      </c>
      <c r="H323" s="14"/>
    </row>
    <row r="324" spans="1:8" x14ac:dyDescent="0.25">
      <c r="A324" s="263"/>
      <c r="B324" s="297"/>
      <c r="C324" s="17" t="s">
        <v>6</v>
      </c>
      <c r="D324" s="264"/>
      <c r="E324" s="181" t="s">
        <v>41</v>
      </c>
      <c r="F324" s="15">
        <v>80</v>
      </c>
      <c r="G324" s="16" t="s">
        <v>195</v>
      </c>
      <c r="H324" s="14"/>
    </row>
    <row r="325" spans="1:8" x14ac:dyDescent="0.25">
      <c r="A325" s="263"/>
      <c r="B325" s="297"/>
      <c r="C325" s="17" t="s">
        <v>13</v>
      </c>
      <c r="D325" s="265" t="s">
        <v>46</v>
      </c>
      <c r="E325" s="98" t="s">
        <v>474</v>
      </c>
      <c r="F325" s="15">
        <v>48</v>
      </c>
      <c r="G325" s="16" t="s">
        <v>165</v>
      </c>
      <c r="H325" s="14"/>
    </row>
    <row r="326" spans="1:8" x14ac:dyDescent="0.25">
      <c r="A326" s="263"/>
      <c r="B326" s="297"/>
      <c r="C326" s="17" t="s">
        <v>13</v>
      </c>
      <c r="D326" s="263"/>
      <c r="E326" s="143" t="s">
        <v>73</v>
      </c>
      <c r="F326" s="15">
        <v>24</v>
      </c>
      <c r="G326" s="16"/>
      <c r="H326" s="14"/>
    </row>
    <row r="327" spans="1:8" x14ac:dyDescent="0.25">
      <c r="A327" s="263"/>
      <c r="B327" s="297"/>
      <c r="C327" s="17" t="s">
        <v>13</v>
      </c>
      <c r="D327" s="264"/>
      <c r="E327" s="98" t="s">
        <v>58</v>
      </c>
      <c r="F327" s="15">
        <v>12</v>
      </c>
      <c r="G327" s="16"/>
      <c r="H327" s="14"/>
    </row>
    <row r="328" spans="1:8" x14ac:dyDescent="0.25">
      <c r="A328" s="263"/>
      <c r="B328" s="297"/>
      <c r="C328" s="17" t="s">
        <v>13</v>
      </c>
      <c r="D328" s="265" t="s">
        <v>47</v>
      </c>
      <c r="E328" s="143" t="s">
        <v>456</v>
      </c>
      <c r="F328" s="15">
        <v>79</v>
      </c>
      <c r="G328" s="16" t="s">
        <v>196</v>
      </c>
      <c r="H328" s="14"/>
    </row>
    <row r="329" spans="1:8" x14ac:dyDescent="0.25">
      <c r="A329" s="263"/>
      <c r="B329" s="297"/>
      <c r="C329" s="17" t="s">
        <v>13</v>
      </c>
      <c r="D329" s="264"/>
      <c r="E329" s="143" t="s">
        <v>89</v>
      </c>
      <c r="F329" s="15">
        <v>24</v>
      </c>
      <c r="G329" s="16"/>
      <c r="H329" s="14"/>
    </row>
    <row r="330" spans="1:8" x14ac:dyDescent="0.25">
      <c r="A330" s="264"/>
      <c r="B330" s="298"/>
      <c r="C330" s="17" t="s">
        <v>13</v>
      </c>
      <c r="D330" s="248" t="s">
        <v>44</v>
      </c>
      <c r="E330" s="98" t="s">
        <v>218</v>
      </c>
      <c r="F330" s="15"/>
      <c r="G330" s="16"/>
      <c r="H330" s="14"/>
    </row>
    <row r="331" spans="1:8" x14ac:dyDescent="0.25">
      <c r="A331" s="287">
        <v>46124</v>
      </c>
      <c r="B331" s="321" t="s">
        <v>5</v>
      </c>
      <c r="C331" s="19" t="s">
        <v>6</v>
      </c>
      <c r="D331" s="265">
        <v>14</v>
      </c>
      <c r="E331" s="153" t="s">
        <v>50</v>
      </c>
      <c r="F331" s="15"/>
      <c r="G331" s="16"/>
      <c r="H331" s="14"/>
    </row>
    <row r="332" spans="1:8" x14ac:dyDescent="0.25">
      <c r="A332" s="288"/>
      <c r="B332" s="297"/>
      <c r="C332" s="19" t="s">
        <v>13</v>
      </c>
      <c r="D332" s="264"/>
      <c r="E332" s="153" t="s">
        <v>50</v>
      </c>
      <c r="F332" s="15"/>
      <c r="G332" s="16"/>
      <c r="H332" s="14"/>
    </row>
    <row r="333" spans="1:8" x14ac:dyDescent="0.25">
      <c r="A333" s="288"/>
      <c r="B333" s="297"/>
      <c r="C333" s="19" t="s">
        <v>6</v>
      </c>
      <c r="D333" s="248">
        <v>2</v>
      </c>
      <c r="E333" s="153" t="s">
        <v>51</v>
      </c>
      <c r="F333" s="15"/>
      <c r="G333" s="16"/>
      <c r="H333" s="14"/>
    </row>
    <row r="334" spans="1:8" x14ac:dyDescent="0.25">
      <c r="A334" s="288"/>
      <c r="B334" s="297"/>
      <c r="C334" s="17" t="s">
        <v>6</v>
      </c>
      <c r="D334" s="248">
        <v>4</v>
      </c>
      <c r="E334" s="143" t="s">
        <v>26</v>
      </c>
      <c r="F334" s="15">
        <v>21</v>
      </c>
      <c r="G334" s="16" t="s">
        <v>164</v>
      </c>
      <c r="H334" s="14"/>
    </row>
    <row r="335" spans="1:8" x14ac:dyDescent="0.25">
      <c r="A335" s="288"/>
      <c r="B335" s="297"/>
      <c r="C335" s="17" t="s">
        <v>6</v>
      </c>
      <c r="D335" s="265">
        <v>2</v>
      </c>
      <c r="E335" s="155" t="s">
        <v>200</v>
      </c>
      <c r="F335" s="15">
        <v>21</v>
      </c>
      <c r="G335" s="16"/>
      <c r="H335" s="14"/>
    </row>
    <row r="336" spans="1:8" x14ac:dyDescent="0.25">
      <c r="A336" s="288"/>
      <c r="B336" s="297"/>
      <c r="C336" s="17" t="s">
        <v>6</v>
      </c>
      <c r="D336" s="264"/>
      <c r="E336" s="143" t="s">
        <v>93</v>
      </c>
      <c r="F336" s="15">
        <v>2</v>
      </c>
      <c r="G336" s="16"/>
      <c r="H336" s="14"/>
    </row>
    <row r="337" spans="1:8" x14ac:dyDescent="0.25">
      <c r="A337" s="288"/>
      <c r="B337" s="297"/>
      <c r="C337" s="17" t="s">
        <v>6</v>
      </c>
      <c r="D337" s="265">
        <v>6</v>
      </c>
      <c r="E337" s="143" t="s">
        <v>271</v>
      </c>
      <c r="F337" s="15">
        <v>15</v>
      </c>
      <c r="G337" s="16" t="s">
        <v>166</v>
      </c>
      <c r="H337" s="14"/>
    </row>
    <row r="338" spans="1:8" x14ac:dyDescent="0.25">
      <c r="A338" s="288"/>
      <c r="B338" s="297"/>
      <c r="C338" s="17" t="s">
        <v>6</v>
      </c>
      <c r="D338" s="263"/>
      <c r="E338" s="143" t="s">
        <v>26</v>
      </c>
      <c r="F338" s="15">
        <v>15</v>
      </c>
      <c r="G338" s="16"/>
      <c r="H338" s="14"/>
    </row>
    <row r="339" spans="1:8" x14ac:dyDescent="0.25">
      <c r="A339" s="288"/>
      <c r="B339" s="297"/>
      <c r="C339" s="17" t="s">
        <v>6</v>
      </c>
      <c r="D339" s="263"/>
      <c r="E339" s="143" t="s">
        <v>93</v>
      </c>
      <c r="F339" s="15">
        <v>2</v>
      </c>
      <c r="G339" s="16"/>
      <c r="H339" s="14"/>
    </row>
    <row r="340" spans="1:8" x14ac:dyDescent="0.25">
      <c r="A340" s="288"/>
      <c r="B340" s="297"/>
      <c r="C340" s="17" t="s">
        <v>6</v>
      </c>
      <c r="D340" s="264"/>
      <c r="E340" s="98" t="s">
        <v>35</v>
      </c>
      <c r="F340" s="15">
        <v>10</v>
      </c>
      <c r="G340" s="16"/>
      <c r="H340" s="14"/>
    </row>
    <row r="341" spans="1:8" x14ac:dyDescent="0.25">
      <c r="A341" s="288"/>
      <c r="B341" s="297"/>
      <c r="C341" s="17" t="s">
        <v>6</v>
      </c>
      <c r="D341" s="265">
        <v>2</v>
      </c>
      <c r="E341" s="98" t="s">
        <v>97</v>
      </c>
      <c r="F341" s="15">
        <v>4</v>
      </c>
      <c r="G341" s="16">
        <v>111</v>
      </c>
      <c r="H341" s="14"/>
    </row>
    <row r="342" spans="1:8" x14ac:dyDescent="0.25">
      <c r="A342" s="288"/>
      <c r="B342" s="297"/>
      <c r="C342" s="17" t="s">
        <v>6</v>
      </c>
      <c r="D342" s="264"/>
      <c r="E342" s="143" t="s">
        <v>94</v>
      </c>
      <c r="F342" s="15">
        <v>3</v>
      </c>
      <c r="G342" s="16"/>
      <c r="H342" s="14"/>
    </row>
    <row r="343" spans="1:8" x14ac:dyDescent="0.25">
      <c r="A343" s="289"/>
      <c r="B343" s="298"/>
      <c r="C343" s="17" t="s">
        <v>6</v>
      </c>
      <c r="D343" s="248" t="s">
        <v>43</v>
      </c>
      <c r="E343" s="98" t="s">
        <v>229</v>
      </c>
      <c r="F343" s="15"/>
      <c r="G343" s="16"/>
      <c r="H343" s="14"/>
    </row>
    <row r="344" spans="1:8" x14ac:dyDescent="0.25">
      <c r="A344" s="287">
        <v>46125</v>
      </c>
      <c r="B344" s="321" t="s">
        <v>36</v>
      </c>
      <c r="C344" s="17" t="s">
        <v>6</v>
      </c>
      <c r="D344" s="265" t="s">
        <v>47</v>
      </c>
      <c r="E344" s="143" t="s">
        <v>80</v>
      </c>
      <c r="F344" s="15">
        <v>12</v>
      </c>
      <c r="G344" s="16" t="s">
        <v>171</v>
      </c>
      <c r="H344" s="14"/>
    </row>
    <row r="345" spans="1:8" x14ac:dyDescent="0.25">
      <c r="A345" s="263"/>
      <c r="B345" s="297"/>
      <c r="C345" s="17" t="s">
        <v>6</v>
      </c>
      <c r="D345" s="263"/>
      <c r="E345" s="98" t="s">
        <v>35</v>
      </c>
      <c r="F345" s="15">
        <v>10</v>
      </c>
      <c r="G345" s="16"/>
      <c r="H345" s="14"/>
    </row>
    <row r="346" spans="1:8" x14ac:dyDescent="0.25">
      <c r="A346" s="263"/>
      <c r="B346" s="297"/>
      <c r="C346" s="17" t="s">
        <v>6</v>
      </c>
      <c r="D346" s="264"/>
      <c r="E346" s="143" t="s">
        <v>93</v>
      </c>
      <c r="F346" s="15">
        <v>3</v>
      </c>
      <c r="G346" s="16"/>
      <c r="H346" s="14"/>
    </row>
    <row r="347" spans="1:8" x14ac:dyDescent="0.25">
      <c r="A347" s="263"/>
      <c r="B347" s="297"/>
      <c r="C347" s="17" t="s">
        <v>13</v>
      </c>
      <c r="D347" s="265" t="s">
        <v>52</v>
      </c>
      <c r="E347" s="155" t="s">
        <v>200</v>
      </c>
      <c r="F347" s="15">
        <v>66</v>
      </c>
      <c r="G347" s="16" t="s">
        <v>195</v>
      </c>
      <c r="H347" s="14"/>
    </row>
    <row r="348" spans="1:8" x14ac:dyDescent="0.25">
      <c r="A348" s="263"/>
      <c r="B348" s="297"/>
      <c r="C348" s="17" t="s">
        <v>13</v>
      </c>
      <c r="D348" s="264"/>
      <c r="E348" s="143" t="s">
        <v>26</v>
      </c>
      <c r="F348" s="15">
        <v>66</v>
      </c>
      <c r="G348" s="16"/>
      <c r="H348" s="14"/>
    </row>
    <row r="349" spans="1:8" x14ac:dyDescent="0.25">
      <c r="A349" s="263"/>
      <c r="B349" s="297"/>
      <c r="C349" s="17" t="s">
        <v>13</v>
      </c>
      <c r="D349" s="265" t="s">
        <v>47</v>
      </c>
      <c r="E349" s="143" t="s">
        <v>456</v>
      </c>
      <c r="F349" s="15">
        <v>39</v>
      </c>
      <c r="G349" s="16">
        <v>113</v>
      </c>
      <c r="H349" s="14"/>
    </row>
    <row r="350" spans="1:8" x14ac:dyDescent="0.25">
      <c r="A350" s="263"/>
      <c r="B350" s="297"/>
      <c r="C350" s="17" t="s">
        <v>13</v>
      </c>
      <c r="D350" s="263"/>
      <c r="E350" s="143" t="s">
        <v>89</v>
      </c>
      <c r="F350" s="15">
        <v>24</v>
      </c>
      <c r="G350" s="16"/>
      <c r="H350" s="14"/>
    </row>
    <row r="351" spans="1:8" ht="31.5" x14ac:dyDescent="0.25">
      <c r="A351" s="263"/>
      <c r="B351" s="297"/>
      <c r="C351" s="17" t="s">
        <v>13</v>
      </c>
      <c r="D351" s="264"/>
      <c r="E351" s="143" t="s">
        <v>73</v>
      </c>
      <c r="F351" s="15">
        <v>21</v>
      </c>
      <c r="G351" s="16" t="s">
        <v>165</v>
      </c>
      <c r="H351" s="14" t="s">
        <v>53</v>
      </c>
    </row>
    <row r="352" spans="1:8" x14ac:dyDescent="0.25">
      <c r="A352" s="264"/>
      <c r="B352" s="298"/>
      <c r="C352" s="17" t="s">
        <v>13</v>
      </c>
      <c r="D352" s="248" t="s">
        <v>44</v>
      </c>
      <c r="E352" s="98" t="s">
        <v>218</v>
      </c>
      <c r="F352" s="15"/>
      <c r="G352" s="16"/>
      <c r="H352" s="14"/>
    </row>
    <row r="353" spans="1:8" x14ac:dyDescent="0.25">
      <c r="A353" s="287">
        <v>46125</v>
      </c>
      <c r="B353" s="321" t="s">
        <v>5</v>
      </c>
      <c r="C353" s="17" t="s">
        <v>6</v>
      </c>
      <c r="D353" s="265" t="s">
        <v>49</v>
      </c>
      <c r="E353" s="143" t="s">
        <v>26</v>
      </c>
      <c r="F353" s="15">
        <v>32</v>
      </c>
      <c r="G353" s="16" t="s">
        <v>164</v>
      </c>
      <c r="H353" s="14"/>
    </row>
    <row r="354" spans="1:8" x14ac:dyDescent="0.25">
      <c r="A354" s="288"/>
      <c r="B354" s="297"/>
      <c r="C354" s="17" t="s">
        <v>6</v>
      </c>
      <c r="D354" s="263"/>
      <c r="E354" s="143" t="s">
        <v>271</v>
      </c>
      <c r="F354" s="15">
        <v>16</v>
      </c>
      <c r="G354" s="16"/>
      <c r="H354" s="14"/>
    </row>
    <row r="355" spans="1:8" x14ac:dyDescent="0.25">
      <c r="A355" s="288"/>
      <c r="B355" s="297"/>
      <c r="C355" s="17" t="s">
        <v>6</v>
      </c>
      <c r="D355" s="263"/>
      <c r="E355" s="155" t="s">
        <v>200</v>
      </c>
      <c r="F355" s="15">
        <v>16</v>
      </c>
      <c r="G355" s="16"/>
      <c r="H355" s="14"/>
    </row>
    <row r="356" spans="1:8" x14ac:dyDescent="0.25">
      <c r="A356" s="288"/>
      <c r="B356" s="297"/>
      <c r="C356" s="17" t="s">
        <v>6</v>
      </c>
      <c r="D356" s="264"/>
      <c r="E356" s="143" t="s">
        <v>93</v>
      </c>
      <c r="F356" s="15">
        <v>2</v>
      </c>
      <c r="G356" s="16"/>
      <c r="H356" s="14"/>
    </row>
    <row r="357" spans="1:8" x14ac:dyDescent="0.25">
      <c r="A357" s="288"/>
      <c r="B357" s="297"/>
      <c r="C357" s="17" t="s">
        <v>6</v>
      </c>
      <c r="D357" s="265" t="s">
        <v>47</v>
      </c>
      <c r="E357" s="143" t="s">
        <v>93</v>
      </c>
      <c r="F357" s="15">
        <v>2</v>
      </c>
      <c r="G357" s="16">
        <v>112</v>
      </c>
      <c r="H357" s="14"/>
    </row>
    <row r="358" spans="1:8" x14ac:dyDescent="0.25">
      <c r="A358" s="288"/>
      <c r="B358" s="297"/>
      <c r="C358" s="17" t="s">
        <v>6</v>
      </c>
      <c r="D358" s="263"/>
      <c r="E358" s="155" t="s">
        <v>200</v>
      </c>
      <c r="F358" s="15">
        <v>10</v>
      </c>
      <c r="G358" s="16"/>
      <c r="H358" s="14"/>
    </row>
    <row r="359" spans="1:8" x14ac:dyDescent="0.25">
      <c r="A359" s="288"/>
      <c r="B359" s="297"/>
      <c r="C359" s="17" t="s">
        <v>6</v>
      </c>
      <c r="D359" s="263"/>
      <c r="E359" s="143" t="s">
        <v>26</v>
      </c>
      <c r="F359" s="15">
        <v>10</v>
      </c>
      <c r="G359" s="16"/>
      <c r="H359" s="14"/>
    </row>
    <row r="360" spans="1:8" x14ac:dyDescent="0.25">
      <c r="A360" s="288"/>
      <c r="B360" s="297"/>
      <c r="C360" s="17" t="s">
        <v>6</v>
      </c>
      <c r="D360" s="264"/>
      <c r="E360" s="143" t="s">
        <v>256</v>
      </c>
      <c r="F360" s="15"/>
      <c r="G360" s="16"/>
      <c r="H360" s="14"/>
    </row>
    <row r="361" spans="1:8" x14ac:dyDescent="0.25">
      <c r="A361" s="288"/>
      <c r="B361" s="297"/>
      <c r="C361" s="17" t="s">
        <v>6</v>
      </c>
      <c r="D361" s="265" t="s">
        <v>44</v>
      </c>
      <c r="E361" s="98" t="s">
        <v>97</v>
      </c>
      <c r="F361" s="15">
        <v>6</v>
      </c>
      <c r="G361" s="16" t="s">
        <v>164</v>
      </c>
      <c r="H361" s="14"/>
    </row>
    <row r="362" spans="1:8" x14ac:dyDescent="0.25">
      <c r="A362" s="288"/>
      <c r="B362" s="297"/>
      <c r="C362" s="17" t="s">
        <v>6</v>
      </c>
      <c r="D362" s="264"/>
      <c r="E362" s="143" t="s">
        <v>93</v>
      </c>
      <c r="F362" s="15">
        <v>6</v>
      </c>
      <c r="G362" s="16"/>
      <c r="H362" s="14"/>
    </row>
    <row r="363" spans="1:8" x14ac:dyDescent="0.25">
      <c r="A363" s="288"/>
      <c r="B363" s="297"/>
      <c r="C363" s="17" t="s">
        <v>6</v>
      </c>
      <c r="D363" s="265" t="s">
        <v>47</v>
      </c>
      <c r="E363" s="143" t="s">
        <v>93</v>
      </c>
      <c r="F363" s="15">
        <v>12</v>
      </c>
      <c r="G363" s="16" t="s">
        <v>195</v>
      </c>
      <c r="H363" s="14"/>
    </row>
    <row r="364" spans="1:8" x14ac:dyDescent="0.25">
      <c r="A364" s="288"/>
      <c r="B364" s="297"/>
      <c r="C364" s="17" t="s">
        <v>6</v>
      </c>
      <c r="D364" s="264"/>
      <c r="E364" s="143" t="s">
        <v>94</v>
      </c>
      <c r="F364" s="15">
        <v>12</v>
      </c>
      <c r="G364" s="16"/>
      <c r="H364" s="14"/>
    </row>
    <row r="365" spans="1:8" x14ac:dyDescent="0.25">
      <c r="A365" s="288"/>
      <c r="B365" s="297"/>
      <c r="C365" s="17" t="s">
        <v>6</v>
      </c>
      <c r="D365" s="265" t="s">
        <v>47</v>
      </c>
      <c r="E365" s="98" t="s">
        <v>35</v>
      </c>
      <c r="F365" s="15">
        <v>14</v>
      </c>
      <c r="G365" s="16">
        <v>111</v>
      </c>
      <c r="H365" s="14"/>
    </row>
    <row r="366" spans="1:8" x14ac:dyDescent="0.25">
      <c r="A366" s="288"/>
      <c r="B366" s="297"/>
      <c r="C366" s="17" t="s">
        <v>6</v>
      </c>
      <c r="D366" s="263"/>
      <c r="E366" s="143" t="s">
        <v>93</v>
      </c>
      <c r="F366" s="15">
        <v>6</v>
      </c>
      <c r="G366" s="16"/>
      <c r="H366" s="14"/>
    </row>
    <row r="367" spans="1:8" x14ac:dyDescent="0.25">
      <c r="A367" s="288"/>
      <c r="B367" s="297"/>
      <c r="C367" s="17" t="s">
        <v>6</v>
      </c>
      <c r="D367" s="264"/>
      <c r="E367" s="143" t="s">
        <v>80</v>
      </c>
      <c r="F367" s="15"/>
      <c r="G367" s="16"/>
      <c r="H367" s="14"/>
    </row>
    <row r="368" spans="1:8" x14ac:dyDescent="0.25">
      <c r="A368" s="288"/>
      <c r="B368" s="297"/>
      <c r="C368" s="17" t="s">
        <v>6</v>
      </c>
      <c r="D368" s="265" t="s">
        <v>49</v>
      </c>
      <c r="E368" s="143" t="s">
        <v>271</v>
      </c>
      <c r="F368" s="15">
        <v>19</v>
      </c>
      <c r="G368" s="16" t="s">
        <v>166</v>
      </c>
      <c r="H368" s="14"/>
    </row>
    <row r="369" spans="1:8" x14ac:dyDescent="0.25">
      <c r="A369" s="288"/>
      <c r="B369" s="297"/>
      <c r="C369" s="17" t="s">
        <v>6</v>
      </c>
      <c r="D369" s="263"/>
      <c r="E369" s="143" t="s">
        <v>26</v>
      </c>
      <c r="F369" s="15">
        <v>19</v>
      </c>
      <c r="G369" s="16"/>
      <c r="H369" s="14"/>
    </row>
    <row r="370" spans="1:8" x14ac:dyDescent="0.25">
      <c r="A370" s="288"/>
      <c r="B370" s="297"/>
      <c r="C370" s="17" t="s">
        <v>6</v>
      </c>
      <c r="D370" s="263"/>
      <c r="E370" s="143" t="s">
        <v>26</v>
      </c>
      <c r="F370" s="15">
        <v>26</v>
      </c>
      <c r="G370" s="16"/>
      <c r="H370" s="14"/>
    </row>
    <row r="371" spans="1:8" x14ac:dyDescent="0.25">
      <c r="A371" s="288"/>
      <c r="B371" s="297"/>
      <c r="C371" s="17" t="s">
        <v>6</v>
      </c>
      <c r="D371" s="263"/>
      <c r="E371" s="155" t="s">
        <v>200</v>
      </c>
      <c r="F371" s="15">
        <v>26</v>
      </c>
      <c r="G371" s="16"/>
      <c r="H371" s="14"/>
    </row>
    <row r="372" spans="1:8" x14ac:dyDescent="0.25">
      <c r="A372" s="288"/>
      <c r="B372" s="297"/>
      <c r="C372" s="17" t="s">
        <v>6</v>
      </c>
      <c r="D372" s="264"/>
      <c r="E372" s="143" t="s">
        <v>93</v>
      </c>
      <c r="F372" s="15">
        <v>2</v>
      </c>
      <c r="G372" s="16"/>
      <c r="H372" s="14"/>
    </row>
    <row r="373" spans="1:8" x14ac:dyDescent="0.25">
      <c r="A373" s="288"/>
      <c r="B373" s="297"/>
      <c r="C373" s="19" t="s">
        <v>13</v>
      </c>
      <c r="D373" s="248" t="s">
        <v>49</v>
      </c>
      <c r="E373" s="98" t="s">
        <v>71</v>
      </c>
      <c r="F373" s="15">
        <v>32</v>
      </c>
      <c r="G373" s="16" t="s">
        <v>165</v>
      </c>
      <c r="H373" s="14"/>
    </row>
    <row r="374" spans="1:8" x14ac:dyDescent="0.25">
      <c r="A374" s="288"/>
      <c r="B374" s="297"/>
      <c r="C374" s="17" t="s">
        <v>6</v>
      </c>
      <c r="D374" s="265" t="s">
        <v>47</v>
      </c>
      <c r="E374" s="98" t="s">
        <v>308</v>
      </c>
      <c r="F374" s="15">
        <v>18</v>
      </c>
      <c r="G374" s="16">
        <v>117</v>
      </c>
      <c r="H374" s="14"/>
    </row>
    <row r="375" spans="1:8" x14ac:dyDescent="0.25">
      <c r="A375" s="288"/>
      <c r="B375" s="297"/>
      <c r="C375" s="17" t="s">
        <v>6</v>
      </c>
      <c r="D375" s="264"/>
      <c r="E375" s="96" t="s">
        <v>206</v>
      </c>
      <c r="F375" s="15">
        <v>10</v>
      </c>
      <c r="G375" s="16"/>
      <c r="H375" s="14"/>
    </row>
    <row r="376" spans="1:8" x14ac:dyDescent="0.25">
      <c r="A376" s="288"/>
      <c r="B376" s="297"/>
      <c r="C376" s="17" t="s">
        <v>6</v>
      </c>
      <c r="D376" s="265" t="s">
        <v>44</v>
      </c>
      <c r="E376" s="98" t="s">
        <v>97</v>
      </c>
      <c r="F376" s="15">
        <v>4</v>
      </c>
      <c r="G376" s="16" t="s">
        <v>166</v>
      </c>
      <c r="H376" s="14"/>
    </row>
    <row r="377" spans="1:8" x14ac:dyDescent="0.25">
      <c r="A377" s="288"/>
      <c r="B377" s="297"/>
      <c r="C377" s="17" t="s">
        <v>6</v>
      </c>
      <c r="D377" s="264"/>
      <c r="E377" s="143" t="s">
        <v>93</v>
      </c>
      <c r="F377" s="15">
        <v>3</v>
      </c>
      <c r="G377" s="16"/>
      <c r="H377" s="14"/>
    </row>
    <row r="378" spans="1:8" x14ac:dyDescent="0.25">
      <c r="A378" s="289"/>
      <c r="B378" s="298"/>
      <c r="C378" s="17" t="s">
        <v>6</v>
      </c>
      <c r="D378" s="248" t="s">
        <v>43</v>
      </c>
      <c r="E378" s="98" t="s">
        <v>229</v>
      </c>
      <c r="F378" s="15"/>
      <c r="G378" s="16"/>
      <c r="H378" s="14"/>
    </row>
    <row r="379" spans="1:8" x14ac:dyDescent="0.25">
      <c r="A379" s="287">
        <v>46126</v>
      </c>
      <c r="B379" s="321" t="s">
        <v>36</v>
      </c>
      <c r="C379" s="19" t="s">
        <v>13</v>
      </c>
      <c r="D379" s="248" t="s">
        <v>52</v>
      </c>
      <c r="E379" s="98" t="s">
        <v>79</v>
      </c>
      <c r="F379" s="15">
        <v>14</v>
      </c>
      <c r="G379" s="16">
        <v>116</v>
      </c>
      <c r="H379" s="14" t="s">
        <v>54</v>
      </c>
    </row>
    <row r="380" spans="1:8" x14ac:dyDescent="0.25">
      <c r="A380" s="263"/>
      <c r="B380" s="297"/>
      <c r="C380" s="19" t="s">
        <v>13</v>
      </c>
      <c r="D380" s="248" t="s">
        <v>49</v>
      </c>
      <c r="E380" s="143" t="s">
        <v>83</v>
      </c>
      <c r="F380" s="15">
        <v>20</v>
      </c>
      <c r="G380" s="16" t="s">
        <v>165</v>
      </c>
      <c r="H380" s="14"/>
    </row>
    <row r="381" spans="1:8" x14ac:dyDescent="0.25">
      <c r="A381" s="263"/>
      <c r="B381" s="297"/>
      <c r="C381" s="19" t="s">
        <v>13</v>
      </c>
      <c r="D381" s="248" t="s">
        <v>47</v>
      </c>
      <c r="E381" s="98" t="s">
        <v>79</v>
      </c>
      <c r="F381" s="15">
        <v>6</v>
      </c>
      <c r="G381" s="16">
        <v>101</v>
      </c>
      <c r="H381" s="14"/>
    </row>
    <row r="382" spans="1:8" x14ac:dyDescent="0.25">
      <c r="A382" s="264"/>
      <c r="B382" s="298"/>
      <c r="C382" s="19" t="s">
        <v>6</v>
      </c>
      <c r="D382" s="248" t="s">
        <v>47</v>
      </c>
      <c r="E382" s="98" t="s">
        <v>35</v>
      </c>
      <c r="F382" s="15">
        <v>12</v>
      </c>
      <c r="G382" s="16" t="s">
        <v>197</v>
      </c>
      <c r="H382" s="14"/>
    </row>
    <row r="383" spans="1:8" x14ac:dyDescent="0.25">
      <c r="A383" s="18">
        <v>46126</v>
      </c>
      <c r="B383" s="83" t="s">
        <v>36</v>
      </c>
      <c r="C383" s="19" t="s">
        <v>6</v>
      </c>
      <c r="D383" s="248" t="s">
        <v>44</v>
      </c>
      <c r="E383" s="98" t="s">
        <v>218</v>
      </c>
      <c r="F383" s="15"/>
      <c r="G383" s="16"/>
      <c r="H383" s="14"/>
    </row>
    <row r="384" spans="1:8" x14ac:dyDescent="0.25">
      <c r="A384" s="287">
        <v>46126</v>
      </c>
      <c r="B384" s="321" t="s">
        <v>5</v>
      </c>
      <c r="C384" s="17" t="s">
        <v>6</v>
      </c>
      <c r="D384" s="265" t="s">
        <v>45</v>
      </c>
      <c r="E384" s="98" t="s">
        <v>35</v>
      </c>
      <c r="F384" s="15">
        <v>14</v>
      </c>
      <c r="G384" s="16" t="s">
        <v>167</v>
      </c>
      <c r="H384" s="14"/>
    </row>
    <row r="385" spans="1:8" x14ac:dyDescent="0.25">
      <c r="A385" s="288"/>
      <c r="B385" s="297"/>
      <c r="C385" s="19" t="s">
        <v>6</v>
      </c>
      <c r="D385" s="263"/>
      <c r="E385" s="143" t="s">
        <v>93</v>
      </c>
      <c r="F385" s="15">
        <v>5</v>
      </c>
      <c r="G385" s="16"/>
      <c r="H385" s="14"/>
    </row>
    <row r="386" spans="1:8" x14ac:dyDescent="0.25">
      <c r="A386" s="288"/>
      <c r="B386" s="297"/>
      <c r="C386" s="19" t="s">
        <v>6</v>
      </c>
      <c r="D386" s="263"/>
      <c r="E386" s="143" t="s">
        <v>55</v>
      </c>
      <c r="F386" s="15">
        <v>17</v>
      </c>
      <c r="G386" s="16"/>
      <c r="H386" s="14"/>
    </row>
    <row r="387" spans="1:8" x14ac:dyDescent="0.25">
      <c r="A387" s="288"/>
      <c r="B387" s="297"/>
      <c r="C387" s="19" t="s">
        <v>6</v>
      </c>
      <c r="D387" s="264"/>
      <c r="E387" s="143" t="s">
        <v>95</v>
      </c>
      <c r="F387" s="15">
        <v>5</v>
      </c>
      <c r="G387" s="16"/>
      <c r="H387" s="14"/>
    </row>
    <row r="388" spans="1:8" x14ac:dyDescent="0.25">
      <c r="A388" s="288"/>
      <c r="B388" s="297"/>
      <c r="C388" s="17" t="s">
        <v>6</v>
      </c>
      <c r="D388" s="265" t="s">
        <v>49</v>
      </c>
      <c r="E388" s="143" t="s">
        <v>26</v>
      </c>
      <c r="F388" s="15">
        <v>36</v>
      </c>
      <c r="G388" s="16">
        <v>112</v>
      </c>
      <c r="H388" s="14"/>
    </row>
    <row r="389" spans="1:8" x14ac:dyDescent="0.25">
      <c r="A389" s="288"/>
      <c r="B389" s="297"/>
      <c r="C389" s="19" t="s">
        <v>6</v>
      </c>
      <c r="D389" s="263"/>
      <c r="E389" s="143" t="s">
        <v>271</v>
      </c>
      <c r="F389" s="15">
        <v>18</v>
      </c>
      <c r="G389" s="16"/>
      <c r="H389" s="14"/>
    </row>
    <row r="390" spans="1:8" x14ac:dyDescent="0.25">
      <c r="A390" s="288"/>
      <c r="B390" s="297"/>
      <c r="C390" s="19" t="s">
        <v>6</v>
      </c>
      <c r="D390" s="264"/>
      <c r="E390" s="155" t="s">
        <v>200</v>
      </c>
      <c r="F390" s="15">
        <v>18</v>
      </c>
      <c r="G390" s="16"/>
      <c r="H390" s="14"/>
    </row>
    <row r="391" spans="1:8" x14ac:dyDescent="0.25">
      <c r="A391" s="288"/>
      <c r="B391" s="297"/>
      <c r="C391" s="17" t="s">
        <v>6</v>
      </c>
      <c r="D391" s="265" t="s">
        <v>45</v>
      </c>
      <c r="E391" s="98" t="s">
        <v>97</v>
      </c>
      <c r="F391" s="15">
        <v>16</v>
      </c>
      <c r="G391" s="16">
        <v>101</v>
      </c>
      <c r="H391" s="14"/>
    </row>
    <row r="392" spans="1:8" x14ac:dyDescent="0.25">
      <c r="A392" s="288"/>
      <c r="B392" s="297"/>
      <c r="C392" s="19" t="s">
        <v>6</v>
      </c>
      <c r="D392" s="264"/>
      <c r="E392" s="143" t="s">
        <v>94</v>
      </c>
      <c r="F392" s="15">
        <v>13</v>
      </c>
      <c r="G392" s="16"/>
      <c r="H392" s="14"/>
    </row>
    <row r="393" spans="1:8" x14ac:dyDescent="0.25">
      <c r="A393" s="288"/>
      <c r="B393" s="297"/>
      <c r="C393" s="17" t="s">
        <v>6</v>
      </c>
      <c r="D393" s="265" t="s">
        <v>47</v>
      </c>
      <c r="E393" s="155" t="s">
        <v>200</v>
      </c>
      <c r="F393" s="15">
        <v>10</v>
      </c>
      <c r="G393" s="16">
        <v>111</v>
      </c>
      <c r="H393" s="14"/>
    </row>
    <row r="394" spans="1:8" x14ac:dyDescent="0.25">
      <c r="A394" s="288"/>
      <c r="B394" s="297"/>
      <c r="C394" s="19" t="s">
        <v>6</v>
      </c>
      <c r="D394" s="263"/>
      <c r="E394" s="155" t="s">
        <v>200</v>
      </c>
      <c r="F394" s="15">
        <v>16</v>
      </c>
      <c r="G394" s="16"/>
      <c r="H394" s="14"/>
    </row>
    <row r="395" spans="1:8" x14ac:dyDescent="0.25">
      <c r="A395" s="288"/>
      <c r="B395" s="297"/>
      <c r="C395" s="19" t="s">
        <v>6</v>
      </c>
      <c r="D395" s="263"/>
      <c r="E395" s="155" t="s">
        <v>200</v>
      </c>
      <c r="F395" s="15">
        <v>40</v>
      </c>
      <c r="G395" s="16"/>
      <c r="H395" s="14"/>
    </row>
    <row r="396" spans="1:8" x14ac:dyDescent="0.25">
      <c r="A396" s="288"/>
      <c r="B396" s="297"/>
      <c r="C396" s="19" t="s">
        <v>6</v>
      </c>
      <c r="D396" s="263"/>
      <c r="E396" s="155" t="s">
        <v>200</v>
      </c>
      <c r="F396" s="15">
        <v>24</v>
      </c>
      <c r="G396" s="16"/>
      <c r="H396" s="14"/>
    </row>
    <row r="397" spans="1:8" x14ac:dyDescent="0.25">
      <c r="A397" s="288"/>
      <c r="B397" s="297"/>
      <c r="C397" s="19" t="s">
        <v>6</v>
      </c>
      <c r="D397" s="264"/>
      <c r="E397" s="143" t="s">
        <v>94</v>
      </c>
      <c r="F397" s="15">
        <v>3</v>
      </c>
      <c r="G397" s="16"/>
      <c r="H397" s="14"/>
    </row>
    <row r="398" spans="1:8" x14ac:dyDescent="0.25">
      <c r="A398" s="288"/>
      <c r="B398" s="297"/>
      <c r="C398" s="17" t="s">
        <v>6</v>
      </c>
      <c r="D398" s="265" t="s">
        <v>47</v>
      </c>
      <c r="E398" s="143" t="s">
        <v>56</v>
      </c>
      <c r="F398" s="15">
        <v>18</v>
      </c>
      <c r="G398" s="16">
        <v>101</v>
      </c>
      <c r="H398" s="14"/>
    </row>
    <row r="399" spans="1:8" x14ac:dyDescent="0.25">
      <c r="A399" s="288"/>
      <c r="B399" s="297"/>
      <c r="C399" s="19" t="s">
        <v>6</v>
      </c>
      <c r="D399" s="264"/>
      <c r="E399" s="143" t="s">
        <v>57</v>
      </c>
      <c r="F399" s="15">
        <v>9</v>
      </c>
      <c r="G399" s="16"/>
      <c r="H399" s="14"/>
    </row>
    <row r="400" spans="1:8" x14ac:dyDescent="0.25">
      <c r="A400" s="288"/>
      <c r="B400" s="297"/>
      <c r="C400" s="17" t="s">
        <v>6</v>
      </c>
      <c r="D400" s="265" t="s">
        <v>49</v>
      </c>
      <c r="E400" s="143" t="s">
        <v>256</v>
      </c>
      <c r="F400" s="15"/>
      <c r="G400" s="16"/>
      <c r="H400" s="14"/>
    </row>
    <row r="401" spans="1:8" x14ac:dyDescent="0.25">
      <c r="A401" s="288"/>
      <c r="B401" s="297"/>
      <c r="C401" s="19" t="s">
        <v>6</v>
      </c>
      <c r="D401" s="264"/>
      <c r="E401" s="153" t="s">
        <v>51</v>
      </c>
      <c r="F401" s="15"/>
      <c r="G401" s="16"/>
      <c r="H401" s="14"/>
    </row>
    <row r="402" spans="1:8" x14ac:dyDescent="0.25">
      <c r="A402" s="288"/>
      <c r="B402" s="297"/>
      <c r="C402" s="17" t="s">
        <v>6</v>
      </c>
      <c r="D402" s="265" t="s">
        <v>49</v>
      </c>
      <c r="E402" s="98" t="s">
        <v>97</v>
      </c>
      <c r="F402" s="15">
        <v>10</v>
      </c>
      <c r="G402" s="16">
        <v>111</v>
      </c>
      <c r="H402" s="14"/>
    </row>
    <row r="403" spans="1:8" x14ac:dyDescent="0.25">
      <c r="A403" s="288"/>
      <c r="B403" s="297"/>
      <c r="C403" s="19" t="s">
        <v>6</v>
      </c>
      <c r="D403" s="264"/>
      <c r="E403" s="143" t="s">
        <v>94</v>
      </c>
      <c r="F403" s="15">
        <v>6</v>
      </c>
      <c r="G403" s="16"/>
      <c r="H403" s="14"/>
    </row>
    <row r="404" spans="1:8" ht="16.5" thickBot="1" x14ac:dyDescent="0.3">
      <c r="A404" s="295"/>
      <c r="B404" s="330"/>
      <c r="C404" s="19" t="s">
        <v>6</v>
      </c>
      <c r="D404" s="248" t="s">
        <v>43</v>
      </c>
      <c r="E404" s="98" t="s">
        <v>229</v>
      </c>
      <c r="F404" s="15"/>
      <c r="G404" s="16"/>
      <c r="H404" s="14"/>
    </row>
    <row r="405" spans="1:8" x14ac:dyDescent="0.25">
      <c r="A405" s="331">
        <v>46127</v>
      </c>
      <c r="B405" s="267" t="s">
        <v>36</v>
      </c>
      <c r="C405" s="23" t="s">
        <v>13</v>
      </c>
      <c r="D405" s="246">
        <v>4</v>
      </c>
      <c r="E405" s="98" t="s">
        <v>58</v>
      </c>
      <c r="F405" s="12">
        <v>48</v>
      </c>
      <c r="G405" s="16">
        <v>116</v>
      </c>
      <c r="H405" s="4"/>
    </row>
    <row r="406" spans="1:8" x14ac:dyDescent="0.25">
      <c r="A406" s="288"/>
      <c r="B406" s="268"/>
      <c r="C406" s="24" t="s">
        <v>6</v>
      </c>
      <c r="D406" s="265">
        <v>3</v>
      </c>
      <c r="E406" s="98" t="s">
        <v>35</v>
      </c>
      <c r="F406" s="15">
        <v>10</v>
      </c>
      <c r="G406" s="16">
        <v>116</v>
      </c>
      <c r="H406" s="4"/>
    </row>
    <row r="407" spans="1:8" x14ac:dyDescent="0.25">
      <c r="A407" s="288"/>
      <c r="B407" s="268"/>
      <c r="C407" s="19" t="s">
        <v>6</v>
      </c>
      <c r="D407" s="264"/>
      <c r="E407" s="98" t="s">
        <v>93</v>
      </c>
      <c r="F407" s="15">
        <v>4</v>
      </c>
      <c r="G407" s="16"/>
      <c r="H407" s="4"/>
    </row>
    <row r="408" spans="1:8" x14ac:dyDescent="0.25">
      <c r="A408" s="288"/>
      <c r="B408" s="268"/>
      <c r="C408" s="25" t="s">
        <v>13</v>
      </c>
      <c r="D408" s="248">
        <v>4</v>
      </c>
      <c r="E408" s="98" t="s">
        <v>79</v>
      </c>
      <c r="F408" s="15">
        <v>6</v>
      </c>
      <c r="G408" s="16" t="s">
        <v>154</v>
      </c>
      <c r="H408" s="20" t="s">
        <v>59</v>
      </c>
    </row>
    <row r="409" spans="1:8" x14ac:dyDescent="0.25">
      <c r="A409" s="288"/>
      <c r="B409" s="268"/>
      <c r="C409" s="24" t="s">
        <v>13</v>
      </c>
      <c r="D409" s="265">
        <v>3</v>
      </c>
      <c r="E409" s="98" t="s">
        <v>79</v>
      </c>
      <c r="F409" s="15">
        <v>6</v>
      </c>
      <c r="G409" s="16">
        <v>111</v>
      </c>
      <c r="H409" s="4"/>
    </row>
    <row r="410" spans="1:8" x14ac:dyDescent="0.25">
      <c r="A410" s="288"/>
      <c r="B410" s="268"/>
      <c r="C410" s="24" t="s">
        <v>13</v>
      </c>
      <c r="D410" s="264"/>
      <c r="E410" s="143" t="s">
        <v>283</v>
      </c>
      <c r="F410" s="15">
        <v>12</v>
      </c>
      <c r="G410" s="16"/>
      <c r="H410" s="4"/>
    </row>
    <row r="411" spans="1:8" x14ac:dyDescent="0.25">
      <c r="A411" s="289"/>
      <c r="B411" s="269"/>
      <c r="C411" s="25" t="s">
        <v>13</v>
      </c>
      <c r="D411" s="248">
        <v>4</v>
      </c>
      <c r="E411" s="98" t="s">
        <v>79</v>
      </c>
      <c r="F411" s="15">
        <v>6</v>
      </c>
      <c r="G411" s="16" t="s">
        <v>155</v>
      </c>
      <c r="H411" s="4"/>
    </row>
    <row r="412" spans="1:8" x14ac:dyDescent="0.25">
      <c r="A412" s="287">
        <v>46127</v>
      </c>
      <c r="B412" s="261" t="s">
        <v>5</v>
      </c>
      <c r="C412" s="25" t="s">
        <v>6</v>
      </c>
      <c r="D412" s="248">
        <v>3</v>
      </c>
      <c r="E412" s="98" t="s">
        <v>93</v>
      </c>
      <c r="F412" s="15">
        <v>22</v>
      </c>
      <c r="G412" s="16" t="s">
        <v>195</v>
      </c>
      <c r="H412" s="4"/>
    </row>
    <row r="413" spans="1:8" x14ac:dyDescent="0.25">
      <c r="A413" s="288"/>
      <c r="B413" s="268"/>
      <c r="C413" s="24" t="s">
        <v>6</v>
      </c>
      <c r="D413" s="265">
        <v>2</v>
      </c>
      <c r="E413" s="98" t="s">
        <v>97</v>
      </c>
      <c r="F413" s="15">
        <v>3</v>
      </c>
      <c r="G413" s="16" t="s">
        <v>156</v>
      </c>
      <c r="H413" s="4"/>
    </row>
    <row r="414" spans="1:8" x14ac:dyDescent="0.25">
      <c r="A414" s="288"/>
      <c r="B414" s="268"/>
      <c r="C414" s="24" t="s">
        <v>6</v>
      </c>
      <c r="D414" s="263"/>
      <c r="E414" s="98" t="s">
        <v>94</v>
      </c>
      <c r="F414" s="15">
        <v>2</v>
      </c>
      <c r="G414" s="16"/>
      <c r="H414" s="4"/>
    </row>
    <row r="415" spans="1:8" x14ac:dyDescent="0.25">
      <c r="A415" s="288"/>
      <c r="B415" s="268"/>
      <c r="C415" s="24" t="s">
        <v>6</v>
      </c>
      <c r="D415" s="264"/>
      <c r="E415" s="98" t="s">
        <v>97</v>
      </c>
      <c r="F415" s="15">
        <v>5</v>
      </c>
      <c r="G415" s="16"/>
      <c r="H415" s="4"/>
    </row>
    <row r="416" spans="1:8" x14ac:dyDescent="0.25">
      <c r="A416" s="288"/>
      <c r="B416" s="268"/>
      <c r="C416" s="24" t="s">
        <v>6</v>
      </c>
      <c r="D416" s="265">
        <v>3</v>
      </c>
      <c r="E416" s="98" t="s">
        <v>109</v>
      </c>
      <c r="F416" s="15">
        <v>8</v>
      </c>
      <c r="G416" s="16">
        <v>112</v>
      </c>
      <c r="H416" s="4"/>
    </row>
    <row r="417" spans="1:8" x14ac:dyDescent="0.25">
      <c r="A417" s="288"/>
      <c r="B417" s="268"/>
      <c r="C417" s="24" t="s">
        <v>6</v>
      </c>
      <c r="D417" s="263"/>
      <c r="E417" s="98" t="s">
        <v>60</v>
      </c>
      <c r="F417" s="15">
        <v>6</v>
      </c>
      <c r="G417" s="16"/>
      <c r="H417" s="4"/>
    </row>
    <row r="418" spans="1:8" x14ac:dyDescent="0.25">
      <c r="A418" s="288"/>
      <c r="B418" s="268"/>
      <c r="C418" s="24" t="s">
        <v>6</v>
      </c>
      <c r="D418" s="264"/>
      <c r="E418" s="96" t="s">
        <v>206</v>
      </c>
      <c r="F418" s="15">
        <v>5</v>
      </c>
      <c r="G418" s="16"/>
      <c r="H418" s="4"/>
    </row>
    <row r="419" spans="1:8" x14ac:dyDescent="0.25">
      <c r="A419" s="288"/>
      <c r="B419" s="268"/>
      <c r="C419" s="24" t="s">
        <v>6</v>
      </c>
      <c r="D419" s="265">
        <v>4</v>
      </c>
      <c r="E419" s="98" t="s">
        <v>55</v>
      </c>
      <c r="F419" s="15">
        <v>3</v>
      </c>
      <c r="G419" s="16">
        <v>101</v>
      </c>
      <c r="H419" s="4"/>
    </row>
    <row r="420" spans="1:8" x14ac:dyDescent="0.25">
      <c r="A420" s="288"/>
      <c r="B420" s="268"/>
      <c r="C420" s="24" t="s">
        <v>6</v>
      </c>
      <c r="D420" s="263"/>
      <c r="E420" s="98" t="s">
        <v>35</v>
      </c>
      <c r="F420" s="15">
        <v>17</v>
      </c>
      <c r="G420" s="16"/>
      <c r="H420" s="4"/>
    </row>
    <row r="421" spans="1:8" x14ac:dyDescent="0.25">
      <c r="A421" s="288"/>
      <c r="B421" s="268"/>
      <c r="C421" s="24" t="s">
        <v>6</v>
      </c>
      <c r="D421" s="264"/>
      <c r="E421" s="98" t="s">
        <v>93</v>
      </c>
      <c r="F421" s="15">
        <v>8</v>
      </c>
      <c r="G421" s="16"/>
      <c r="H421" s="4"/>
    </row>
    <row r="422" spans="1:8" x14ac:dyDescent="0.25">
      <c r="A422" s="288"/>
      <c r="B422" s="268"/>
      <c r="C422" s="24" t="s">
        <v>6</v>
      </c>
      <c r="D422" s="265">
        <v>4</v>
      </c>
      <c r="E422" s="143" t="s">
        <v>271</v>
      </c>
      <c r="F422" s="15">
        <f>12+34</f>
        <v>46</v>
      </c>
      <c r="G422" s="16" t="s">
        <v>154</v>
      </c>
      <c r="H422" s="4"/>
    </row>
    <row r="423" spans="1:8" x14ac:dyDescent="0.25">
      <c r="A423" s="288"/>
      <c r="B423" s="268"/>
      <c r="C423" s="24" t="s">
        <v>6</v>
      </c>
      <c r="D423" s="263"/>
      <c r="E423" s="155" t="s">
        <v>200</v>
      </c>
      <c r="F423" s="15">
        <v>9</v>
      </c>
      <c r="G423" s="16"/>
      <c r="H423" s="4"/>
    </row>
    <row r="424" spans="1:8" x14ac:dyDescent="0.25">
      <c r="A424" s="288"/>
      <c r="B424" s="268"/>
      <c r="C424" s="24" t="s">
        <v>6</v>
      </c>
      <c r="D424" s="263"/>
      <c r="E424" s="98" t="s">
        <v>26</v>
      </c>
      <c r="F424" s="15">
        <v>21</v>
      </c>
      <c r="G424" s="16"/>
      <c r="H424" s="4"/>
    </row>
    <row r="425" spans="1:8" x14ac:dyDescent="0.25">
      <c r="A425" s="288"/>
      <c r="B425" s="268"/>
      <c r="C425" s="24" t="s">
        <v>6</v>
      </c>
      <c r="D425" s="264"/>
      <c r="E425" s="98" t="s">
        <v>93</v>
      </c>
      <c r="F425" s="15">
        <v>2</v>
      </c>
      <c r="G425" s="16"/>
      <c r="H425" s="4"/>
    </row>
    <row r="426" spans="1:8" x14ac:dyDescent="0.25">
      <c r="A426" s="288"/>
      <c r="B426" s="268"/>
      <c r="C426" s="24" t="s">
        <v>6</v>
      </c>
      <c r="D426" s="265">
        <v>2</v>
      </c>
      <c r="E426" s="98" t="s">
        <v>97</v>
      </c>
      <c r="F426" s="15">
        <v>5</v>
      </c>
      <c r="G426" s="16">
        <v>116</v>
      </c>
      <c r="H426" s="4"/>
    </row>
    <row r="427" spans="1:8" x14ac:dyDescent="0.25">
      <c r="A427" s="288"/>
      <c r="B427" s="268"/>
      <c r="C427" s="24" t="s">
        <v>6</v>
      </c>
      <c r="D427" s="264"/>
      <c r="E427" s="98" t="s">
        <v>94</v>
      </c>
      <c r="F427" s="15">
        <v>5</v>
      </c>
      <c r="G427" s="16"/>
      <c r="H427" s="4"/>
    </row>
    <row r="428" spans="1:8" x14ac:dyDescent="0.25">
      <c r="A428" s="288"/>
      <c r="B428" s="268"/>
      <c r="C428" s="24" t="s">
        <v>6</v>
      </c>
      <c r="D428" s="265">
        <v>4</v>
      </c>
      <c r="E428" s="143" t="s">
        <v>271</v>
      </c>
      <c r="F428" s="15">
        <v>25</v>
      </c>
      <c r="G428" s="16">
        <v>114</v>
      </c>
      <c r="H428" s="4"/>
    </row>
    <row r="429" spans="1:8" x14ac:dyDescent="0.25">
      <c r="A429" s="288"/>
      <c r="B429" s="268"/>
      <c r="C429" s="24" t="s">
        <v>6</v>
      </c>
      <c r="D429" s="263"/>
      <c r="E429" s="155" t="s">
        <v>200</v>
      </c>
      <c r="F429" s="15">
        <v>20</v>
      </c>
      <c r="G429" s="16"/>
      <c r="H429" s="4"/>
    </row>
    <row r="430" spans="1:8" x14ac:dyDescent="0.25">
      <c r="A430" s="288"/>
      <c r="B430" s="268"/>
      <c r="C430" s="24" t="s">
        <v>6</v>
      </c>
      <c r="D430" s="263"/>
      <c r="E430" s="98" t="s">
        <v>26</v>
      </c>
      <c r="F430" s="15">
        <v>45</v>
      </c>
      <c r="G430" s="16"/>
      <c r="H430" s="4"/>
    </row>
    <row r="431" spans="1:8" x14ac:dyDescent="0.25">
      <c r="A431" s="288"/>
      <c r="B431" s="268"/>
      <c r="C431" s="24" t="s">
        <v>6</v>
      </c>
      <c r="D431" s="264"/>
      <c r="E431" s="98" t="s">
        <v>93</v>
      </c>
      <c r="F431" s="15">
        <v>2</v>
      </c>
      <c r="G431" s="16"/>
      <c r="H431" s="4"/>
    </row>
    <row r="432" spans="1:8" x14ac:dyDescent="0.25">
      <c r="A432" s="289"/>
      <c r="B432" s="269"/>
      <c r="C432" s="25" t="s">
        <v>13</v>
      </c>
      <c r="D432" s="248">
        <v>5</v>
      </c>
      <c r="E432" s="98" t="s">
        <v>58</v>
      </c>
      <c r="F432" s="15">
        <v>40</v>
      </c>
      <c r="G432" s="16">
        <v>116</v>
      </c>
      <c r="H432" s="4"/>
    </row>
    <row r="433" spans="1:8" x14ac:dyDescent="0.25">
      <c r="A433" s="287">
        <v>46128</v>
      </c>
      <c r="B433" s="261" t="s">
        <v>36</v>
      </c>
      <c r="C433" s="25" t="s">
        <v>6</v>
      </c>
      <c r="D433" s="248">
        <v>2</v>
      </c>
      <c r="E433" s="98" t="s">
        <v>61</v>
      </c>
      <c r="F433" s="15">
        <v>9</v>
      </c>
      <c r="G433" s="16" t="s">
        <v>30</v>
      </c>
      <c r="H433" s="4"/>
    </row>
    <row r="434" spans="1:8" x14ac:dyDescent="0.25">
      <c r="A434" s="288"/>
      <c r="B434" s="268"/>
      <c r="C434" s="25" t="s">
        <v>6</v>
      </c>
      <c r="D434" s="248">
        <v>2</v>
      </c>
      <c r="E434" s="98" t="s">
        <v>120</v>
      </c>
      <c r="F434" s="15">
        <v>10</v>
      </c>
      <c r="G434" s="16">
        <v>112</v>
      </c>
      <c r="H434" s="4"/>
    </row>
    <row r="435" spans="1:8" x14ac:dyDescent="0.25">
      <c r="A435" s="288"/>
      <c r="B435" s="268"/>
      <c r="C435" s="25" t="s">
        <v>13</v>
      </c>
      <c r="D435" s="248">
        <v>3</v>
      </c>
      <c r="E435" s="98" t="s">
        <v>79</v>
      </c>
      <c r="F435" s="15">
        <v>10</v>
      </c>
      <c r="G435" s="16">
        <v>101</v>
      </c>
      <c r="H435" s="4"/>
    </row>
    <row r="436" spans="1:8" x14ac:dyDescent="0.25">
      <c r="A436" s="288"/>
      <c r="B436" s="268"/>
      <c r="C436" s="25" t="s">
        <v>6</v>
      </c>
      <c r="D436" s="248">
        <v>2</v>
      </c>
      <c r="E436" s="98" t="s">
        <v>120</v>
      </c>
      <c r="F436" s="15">
        <v>18</v>
      </c>
      <c r="G436" s="16" t="s">
        <v>62</v>
      </c>
      <c r="H436" s="4"/>
    </row>
    <row r="437" spans="1:8" x14ac:dyDescent="0.25">
      <c r="A437" s="288"/>
      <c r="B437" s="268"/>
      <c r="C437" s="25" t="s">
        <v>13</v>
      </c>
      <c r="D437" s="248">
        <v>2</v>
      </c>
      <c r="E437" s="98" t="s">
        <v>120</v>
      </c>
      <c r="F437" s="15">
        <v>19</v>
      </c>
      <c r="G437" s="16">
        <v>111</v>
      </c>
      <c r="H437" s="4"/>
    </row>
    <row r="438" spans="1:8" x14ac:dyDescent="0.25">
      <c r="A438" s="288"/>
      <c r="B438" s="268"/>
      <c r="C438" s="24" t="s">
        <v>13</v>
      </c>
      <c r="D438" s="265">
        <v>4</v>
      </c>
      <c r="E438" s="143" t="s">
        <v>92</v>
      </c>
      <c r="F438" s="15">
        <v>20</v>
      </c>
      <c r="G438" s="16">
        <v>116</v>
      </c>
      <c r="H438" s="4"/>
    </row>
    <row r="439" spans="1:8" x14ac:dyDescent="0.25">
      <c r="A439" s="288"/>
      <c r="B439" s="268"/>
      <c r="C439" s="24" t="s">
        <v>13</v>
      </c>
      <c r="D439" s="264"/>
      <c r="E439" s="98" t="s">
        <v>58</v>
      </c>
      <c r="F439" s="15">
        <v>42</v>
      </c>
      <c r="G439" s="16"/>
      <c r="H439" s="4"/>
    </row>
    <row r="440" spans="1:8" x14ac:dyDescent="0.25">
      <c r="A440" s="288"/>
      <c r="B440" s="268"/>
      <c r="C440" s="24" t="s">
        <v>13</v>
      </c>
      <c r="D440" s="265">
        <v>4</v>
      </c>
      <c r="E440" s="143" t="s">
        <v>80</v>
      </c>
      <c r="F440" s="15">
        <v>11</v>
      </c>
      <c r="G440" s="16">
        <v>116</v>
      </c>
      <c r="H440" s="4"/>
    </row>
    <row r="441" spans="1:8" x14ac:dyDescent="0.25">
      <c r="A441" s="288"/>
      <c r="B441" s="268"/>
      <c r="C441" s="24" t="s">
        <v>13</v>
      </c>
      <c r="D441" s="263"/>
      <c r="E441" s="98" t="s">
        <v>35</v>
      </c>
      <c r="F441" s="15">
        <v>5</v>
      </c>
      <c r="G441" s="16"/>
      <c r="H441" s="4"/>
    </row>
    <row r="442" spans="1:8" x14ac:dyDescent="0.25">
      <c r="A442" s="289"/>
      <c r="B442" s="269"/>
      <c r="C442" s="24" t="s">
        <v>13</v>
      </c>
      <c r="D442" s="264"/>
      <c r="E442" s="98" t="s">
        <v>93</v>
      </c>
      <c r="F442" s="15">
        <v>3</v>
      </c>
      <c r="G442" s="16"/>
      <c r="H442" s="4"/>
    </row>
    <row r="443" spans="1:8" x14ac:dyDescent="0.25">
      <c r="A443" s="287">
        <v>46128</v>
      </c>
      <c r="B443" s="261" t="s">
        <v>5</v>
      </c>
      <c r="C443" s="24" t="s">
        <v>6</v>
      </c>
      <c r="D443" s="265">
        <v>3</v>
      </c>
      <c r="E443" s="98" t="s">
        <v>63</v>
      </c>
      <c r="F443" s="15">
        <v>36</v>
      </c>
      <c r="G443" s="16" t="s">
        <v>195</v>
      </c>
      <c r="H443" s="4"/>
    </row>
    <row r="444" spans="1:8" x14ac:dyDescent="0.25">
      <c r="A444" s="288"/>
      <c r="B444" s="268"/>
      <c r="C444" s="24" t="s">
        <v>6</v>
      </c>
      <c r="D444" s="263"/>
      <c r="E444" s="98" t="s">
        <v>26</v>
      </c>
      <c r="F444" s="15">
        <v>38</v>
      </c>
      <c r="G444" s="16"/>
      <c r="H444" s="4"/>
    </row>
    <row r="445" spans="1:8" x14ac:dyDescent="0.25">
      <c r="A445" s="288"/>
      <c r="B445" s="268"/>
      <c r="C445" s="24" t="s">
        <v>6</v>
      </c>
      <c r="D445" s="263"/>
      <c r="E445" s="143" t="s">
        <v>271</v>
      </c>
      <c r="F445" s="15">
        <v>19</v>
      </c>
      <c r="G445" s="16"/>
      <c r="H445" s="4"/>
    </row>
    <row r="446" spans="1:8" x14ac:dyDescent="0.25">
      <c r="A446" s="288"/>
      <c r="B446" s="268"/>
      <c r="C446" s="24" t="s">
        <v>6</v>
      </c>
      <c r="D446" s="264"/>
      <c r="E446" s="155" t="s">
        <v>200</v>
      </c>
      <c r="F446" s="15">
        <v>19</v>
      </c>
      <c r="G446" s="16"/>
      <c r="H446" s="4"/>
    </row>
    <row r="447" spans="1:8" x14ac:dyDescent="0.25">
      <c r="A447" s="288"/>
      <c r="B447" s="268"/>
      <c r="C447" s="24" t="s">
        <v>6</v>
      </c>
      <c r="D447" s="265">
        <v>2</v>
      </c>
      <c r="E447" s="98" t="s">
        <v>97</v>
      </c>
      <c r="F447" s="15">
        <v>5</v>
      </c>
      <c r="G447" s="16">
        <v>111</v>
      </c>
      <c r="H447" s="4"/>
    </row>
    <row r="448" spans="1:8" x14ac:dyDescent="0.25">
      <c r="A448" s="288"/>
      <c r="B448" s="268"/>
      <c r="C448" s="24" t="s">
        <v>6</v>
      </c>
      <c r="D448" s="263"/>
      <c r="E448" s="98" t="s">
        <v>94</v>
      </c>
      <c r="F448" s="15">
        <v>5</v>
      </c>
      <c r="G448" s="16"/>
      <c r="H448" s="4"/>
    </row>
    <row r="449" spans="1:8" x14ac:dyDescent="0.25">
      <c r="A449" s="288"/>
      <c r="B449" s="268"/>
      <c r="C449" s="24" t="s">
        <v>6</v>
      </c>
      <c r="D449" s="263"/>
      <c r="E449" s="143" t="s">
        <v>271</v>
      </c>
      <c r="F449" s="15">
        <v>10</v>
      </c>
      <c r="G449" s="16"/>
      <c r="H449" s="4"/>
    </row>
    <row r="450" spans="1:8" x14ac:dyDescent="0.25">
      <c r="A450" s="288"/>
      <c r="B450" s="268"/>
      <c r="C450" s="24" t="s">
        <v>6</v>
      </c>
      <c r="D450" s="263"/>
      <c r="E450" s="98" t="s">
        <v>97</v>
      </c>
      <c r="F450" s="15">
        <v>3</v>
      </c>
      <c r="G450" s="16">
        <v>112</v>
      </c>
      <c r="H450" s="4"/>
    </row>
    <row r="451" spans="1:8" x14ac:dyDescent="0.25">
      <c r="A451" s="288"/>
      <c r="B451" s="268"/>
      <c r="C451" s="24" t="s">
        <v>6</v>
      </c>
      <c r="D451" s="264"/>
      <c r="E451" s="98" t="s">
        <v>94</v>
      </c>
      <c r="F451" s="15">
        <v>2</v>
      </c>
      <c r="G451" s="16"/>
      <c r="H451" s="4"/>
    </row>
    <row r="452" spans="1:8" x14ac:dyDescent="0.25">
      <c r="A452" s="288"/>
      <c r="B452" s="268"/>
      <c r="C452" s="24" t="s">
        <v>6</v>
      </c>
      <c r="D452" s="265">
        <v>2</v>
      </c>
      <c r="E452" s="98" t="s">
        <v>85</v>
      </c>
      <c r="F452" s="15">
        <v>3</v>
      </c>
      <c r="G452" s="16">
        <v>116</v>
      </c>
      <c r="H452" s="4"/>
    </row>
    <row r="453" spans="1:8" x14ac:dyDescent="0.25">
      <c r="A453" s="288"/>
      <c r="B453" s="268"/>
      <c r="C453" s="24" t="s">
        <v>6</v>
      </c>
      <c r="D453" s="263"/>
      <c r="E453" s="98" t="s">
        <v>308</v>
      </c>
      <c r="F453" s="15">
        <v>3</v>
      </c>
      <c r="G453" s="16"/>
      <c r="H453" s="4"/>
    </row>
    <row r="454" spans="1:8" x14ac:dyDescent="0.25">
      <c r="A454" s="288"/>
      <c r="B454" s="268"/>
      <c r="C454" s="24" t="s">
        <v>6</v>
      </c>
      <c r="D454" s="264"/>
      <c r="E454" s="98" t="s">
        <v>99</v>
      </c>
      <c r="F454" s="15">
        <v>1</v>
      </c>
      <c r="G454" s="16"/>
      <c r="H454" s="4"/>
    </row>
    <row r="455" spans="1:8" x14ac:dyDescent="0.25">
      <c r="A455" s="288"/>
      <c r="B455" s="268"/>
      <c r="C455" s="24" t="s">
        <v>6</v>
      </c>
      <c r="D455" s="265">
        <v>4</v>
      </c>
      <c r="E455" s="143" t="s">
        <v>271</v>
      </c>
      <c r="F455" s="15">
        <v>34</v>
      </c>
      <c r="G455" s="16">
        <v>116</v>
      </c>
      <c r="H455" s="4"/>
    </row>
    <row r="456" spans="1:8" x14ac:dyDescent="0.25">
      <c r="A456" s="288"/>
      <c r="B456" s="268"/>
      <c r="C456" s="24" t="s">
        <v>6</v>
      </c>
      <c r="D456" s="263"/>
      <c r="E456" s="155" t="s">
        <v>200</v>
      </c>
      <c r="F456" s="15">
        <v>20</v>
      </c>
      <c r="G456" s="16"/>
      <c r="H456" s="4"/>
    </row>
    <row r="457" spans="1:8" x14ac:dyDescent="0.25">
      <c r="A457" s="288"/>
      <c r="B457" s="268"/>
      <c r="C457" s="24" t="s">
        <v>6</v>
      </c>
      <c r="D457" s="263"/>
      <c r="E457" s="143" t="s">
        <v>271</v>
      </c>
      <c r="F457" s="15">
        <v>30</v>
      </c>
      <c r="G457" s="16">
        <v>101</v>
      </c>
      <c r="H457" s="4"/>
    </row>
    <row r="458" spans="1:8" x14ac:dyDescent="0.25">
      <c r="A458" s="288"/>
      <c r="B458" s="268"/>
      <c r="C458" s="24" t="s">
        <v>6</v>
      </c>
      <c r="D458" s="264"/>
      <c r="E458" s="155" t="s">
        <v>200</v>
      </c>
      <c r="F458" s="15">
        <v>8</v>
      </c>
      <c r="G458" s="16"/>
      <c r="H458" s="4"/>
    </row>
    <row r="459" spans="1:8" x14ac:dyDescent="0.25">
      <c r="A459" s="288"/>
      <c r="B459" s="268"/>
      <c r="C459" s="24" t="s">
        <v>6</v>
      </c>
      <c r="D459" s="265">
        <v>5</v>
      </c>
      <c r="E459" s="98" t="s">
        <v>35</v>
      </c>
      <c r="F459" s="15">
        <v>6</v>
      </c>
      <c r="G459" s="16">
        <v>101</v>
      </c>
      <c r="H459" s="4"/>
    </row>
    <row r="460" spans="1:8" x14ac:dyDescent="0.25">
      <c r="A460" s="288"/>
      <c r="B460" s="268"/>
      <c r="C460" s="24" t="s">
        <v>6</v>
      </c>
      <c r="D460" s="263"/>
      <c r="E460" s="98" t="s">
        <v>93</v>
      </c>
      <c r="F460" s="15">
        <v>2</v>
      </c>
      <c r="G460" s="16"/>
      <c r="H460" s="4"/>
    </row>
    <row r="461" spans="1:8" x14ac:dyDescent="0.25">
      <c r="A461" s="288"/>
      <c r="B461" s="268"/>
      <c r="C461" s="24" t="s">
        <v>6</v>
      </c>
      <c r="D461" s="263"/>
      <c r="E461" s="98" t="s">
        <v>93</v>
      </c>
      <c r="F461" s="15">
        <v>1</v>
      </c>
      <c r="G461" s="16">
        <v>116</v>
      </c>
      <c r="H461" s="4"/>
    </row>
    <row r="462" spans="1:8" x14ac:dyDescent="0.25">
      <c r="A462" s="288"/>
      <c r="B462" s="268"/>
      <c r="C462" s="24" t="s">
        <v>6</v>
      </c>
      <c r="D462" s="263"/>
      <c r="E462" s="98" t="s">
        <v>61</v>
      </c>
      <c r="F462" s="15">
        <v>3</v>
      </c>
      <c r="G462" s="16">
        <v>111</v>
      </c>
      <c r="H462" s="4"/>
    </row>
    <row r="463" spans="1:8" x14ac:dyDescent="0.25">
      <c r="A463" s="288"/>
      <c r="B463" s="268"/>
      <c r="C463" s="24" t="s">
        <v>6</v>
      </c>
      <c r="D463" s="263"/>
      <c r="E463" s="98" t="s">
        <v>64</v>
      </c>
      <c r="F463" s="15">
        <v>9</v>
      </c>
      <c r="G463" s="16"/>
      <c r="H463" s="4"/>
    </row>
    <row r="464" spans="1:8" x14ac:dyDescent="0.25">
      <c r="A464" s="288"/>
      <c r="B464" s="268"/>
      <c r="C464" s="24" t="s">
        <v>6</v>
      </c>
      <c r="D464" s="264"/>
      <c r="E464" s="98" t="s">
        <v>81</v>
      </c>
      <c r="F464" s="15">
        <v>6</v>
      </c>
      <c r="G464" s="16"/>
      <c r="H464" s="4"/>
    </row>
    <row r="465" spans="1:8" x14ac:dyDescent="0.25">
      <c r="A465" s="288"/>
      <c r="B465" s="268"/>
      <c r="C465" s="24" t="s">
        <v>6</v>
      </c>
      <c r="D465" s="265">
        <v>4</v>
      </c>
      <c r="E465" s="98" t="s">
        <v>93</v>
      </c>
      <c r="F465" s="15">
        <v>4</v>
      </c>
      <c r="G465" s="16">
        <v>113</v>
      </c>
      <c r="H465" s="4"/>
    </row>
    <row r="466" spans="1:8" x14ac:dyDescent="0.25">
      <c r="A466" s="288"/>
      <c r="B466" s="268"/>
      <c r="C466" s="24" t="s">
        <v>6</v>
      </c>
      <c r="D466" s="263"/>
      <c r="E466" s="98" t="s">
        <v>26</v>
      </c>
      <c r="F466" s="15">
        <v>38</v>
      </c>
      <c r="G466" s="16"/>
      <c r="H466" s="4"/>
    </row>
    <row r="467" spans="1:8" x14ac:dyDescent="0.25">
      <c r="A467" s="288"/>
      <c r="B467" s="268"/>
      <c r="C467" s="24" t="s">
        <v>6</v>
      </c>
      <c r="D467" s="264"/>
      <c r="E467" s="143" t="s">
        <v>271</v>
      </c>
      <c r="F467" s="15">
        <v>38</v>
      </c>
      <c r="G467" s="16"/>
      <c r="H467" s="4"/>
    </row>
    <row r="468" spans="1:8" x14ac:dyDescent="0.25">
      <c r="A468" s="288"/>
      <c r="B468" s="268"/>
      <c r="C468" s="24" t="s">
        <v>6</v>
      </c>
      <c r="D468" s="265">
        <v>2</v>
      </c>
      <c r="E468" s="98" t="s">
        <v>97</v>
      </c>
      <c r="F468" s="15">
        <v>5</v>
      </c>
      <c r="G468" s="16">
        <v>116</v>
      </c>
      <c r="H468" s="4"/>
    </row>
    <row r="469" spans="1:8" x14ac:dyDescent="0.25">
      <c r="A469" s="288"/>
      <c r="B469" s="268"/>
      <c r="C469" s="24" t="s">
        <v>6</v>
      </c>
      <c r="D469" s="264"/>
      <c r="E469" s="98" t="s">
        <v>94</v>
      </c>
      <c r="F469" s="15">
        <v>5</v>
      </c>
      <c r="G469" s="16"/>
      <c r="H469" s="4"/>
    </row>
    <row r="470" spans="1:8" x14ac:dyDescent="0.25">
      <c r="A470" s="288"/>
      <c r="B470" s="268"/>
      <c r="C470" s="24" t="s">
        <v>13</v>
      </c>
      <c r="D470" s="265">
        <v>5</v>
      </c>
      <c r="E470" s="98" t="s">
        <v>58</v>
      </c>
      <c r="F470" s="15">
        <v>42</v>
      </c>
      <c r="G470" s="16">
        <v>116</v>
      </c>
      <c r="H470" s="4"/>
    </row>
    <row r="471" spans="1:8" x14ac:dyDescent="0.25">
      <c r="A471" s="288"/>
      <c r="B471" s="268"/>
      <c r="C471" s="24" t="s">
        <v>13</v>
      </c>
      <c r="D471" s="264"/>
      <c r="E471" s="96" t="s">
        <v>206</v>
      </c>
      <c r="F471" s="15">
        <v>12</v>
      </c>
      <c r="G471" s="16"/>
      <c r="H471" s="4"/>
    </row>
    <row r="472" spans="1:8" x14ac:dyDescent="0.25">
      <c r="A472" s="288"/>
      <c r="B472" s="268"/>
      <c r="C472" s="24" t="s">
        <v>6</v>
      </c>
      <c r="D472" s="248">
        <v>2</v>
      </c>
      <c r="E472" s="98" t="s">
        <v>65</v>
      </c>
      <c r="F472" s="15"/>
      <c r="G472" s="16"/>
      <c r="H472" s="4" t="s">
        <v>209</v>
      </c>
    </row>
    <row r="473" spans="1:8" x14ac:dyDescent="0.25">
      <c r="A473" s="288"/>
      <c r="B473" s="268"/>
      <c r="C473" s="24" t="s">
        <v>6</v>
      </c>
      <c r="D473" s="248">
        <v>2</v>
      </c>
      <c r="E473" s="98" t="s">
        <v>65</v>
      </c>
      <c r="F473" s="15"/>
      <c r="G473" s="16"/>
      <c r="H473" s="4" t="s">
        <v>51</v>
      </c>
    </row>
    <row r="474" spans="1:8" x14ac:dyDescent="0.25">
      <c r="A474" s="289"/>
      <c r="B474" s="269"/>
      <c r="C474" s="24" t="s">
        <v>6</v>
      </c>
      <c r="D474" s="248">
        <v>2</v>
      </c>
      <c r="E474" s="98" t="s">
        <v>65</v>
      </c>
      <c r="F474" s="15"/>
      <c r="G474" s="16"/>
      <c r="H474" s="4" t="s">
        <v>66</v>
      </c>
    </row>
    <row r="475" spans="1:8" x14ac:dyDescent="0.25">
      <c r="A475" s="287">
        <v>46129</v>
      </c>
      <c r="B475" s="261" t="s">
        <v>36</v>
      </c>
      <c r="C475" s="24" t="s">
        <v>6</v>
      </c>
      <c r="D475" s="248">
        <v>4</v>
      </c>
      <c r="E475" s="143" t="s">
        <v>92</v>
      </c>
      <c r="F475" s="15">
        <v>42</v>
      </c>
      <c r="G475" s="16">
        <v>116</v>
      </c>
      <c r="H475" s="4"/>
    </row>
    <row r="476" spans="1:8" x14ac:dyDescent="0.25">
      <c r="A476" s="288"/>
      <c r="B476" s="268"/>
      <c r="C476" s="24" t="s">
        <v>6</v>
      </c>
      <c r="D476" s="248">
        <v>4</v>
      </c>
      <c r="E476" s="98" t="s">
        <v>97</v>
      </c>
      <c r="F476" s="15">
        <v>16</v>
      </c>
      <c r="G476" s="16">
        <v>116</v>
      </c>
      <c r="H476" s="4"/>
    </row>
    <row r="477" spans="1:8" x14ac:dyDescent="0.25">
      <c r="A477" s="288"/>
      <c r="B477" s="268"/>
      <c r="C477" s="24" t="s">
        <v>6</v>
      </c>
      <c r="D477" s="265">
        <v>4</v>
      </c>
      <c r="E477" s="143" t="s">
        <v>80</v>
      </c>
      <c r="F477" s="15">
        <v>10</v>
      </c>
      <c r="G477" s="16">
        <v>101</v>
      </c>
      <c r="H477" s="4"/>
    </row>
    <row r="478" spans="1:8" x14ac:dyDescent="0.25">
      <c r="A478" s="288"/>
      <c r="B478" s="268"/>
      <c r="C478" s="24" t="s">
        <v>6</v>
      </c>
      <c r="D478" s="263"/>
      <c r="E478" s="98" t="s">
        <v>35</v>
      </c>
      <c r="F478" s="15">
        <v>10</v>
      </c>
      <c r="G478" s="16"/>
      <c r="H478" s="4"/>
    </row>
    <row r="479" spans="1:8" x14ac:dyDescent="0.25">
      <c r="A479" s="288"/>
      <c r="B479" s="268"/>
      <c r="C479" s="24" t="s">
        <v>6</v>
      </c>
      <c r="D479" s="264"/>
      <c r="E479" s="98" t="s">
        <v>93</v>
      </c>
      <c r="F479" s="15">
        <v>4</v>
      </c>
      <c r="G479" s="16"/>
      <c r="H479" s="4"/>
    </row>
    <row r="480" spans="1:8" x14ac:dyDescent="0.25">
      <c r="A480" s="288"/>
      <c r="B480" s="268"/>
      <c r="C480" s="24" t="s">
        <v>6</v>
      </c>
      <c r="D480" s="265">
        <v>2</v>
      </c>
      <c r="E480" s="98" t="s">
        <v>65</v>
      </c>
      <c r="F480" s="15"/>
      <c r="G480" s="16"/>
      <c r="H480" s="4" t="s">
        <v>67</v>
      </c>
    </row>
    <row r="481" spans="1:8" x14ac:dyDescent="0.25">
      <c r="A481" s="288"/>
      <c r="B481" s="268"/>
      <c r="C481" s="24" t="s">
        <v>6</v>
      </c>
      <c r="D481" s="264"/>
      <c r="E481" s="98" t="s">
        <v>65</v>
      </c>
      <c r="F481" s="15"/>
      <c r="G481" s="16"/>
      <c r="H481" s="4" t="s">
        <v>68</v>
      </c>
    </row>
    <row r="482" spans="1:8" x14ac:dyDescent="0.25">
      <c r="A482" s="288"/>
      <c r="B482" s="268"/>
      <c r="C482" s="24" t="s">
        <v>13</v>
      </c>
      <c r="D482" s="265">
        <v>3</v>
      </c>
      <c r="E482" s="98" t="s">
        <v>65</v>
      </c>
      <c r="F482" s="15"/>
      <c r="G482" s="16"/>
      <c r="H482" s="4" t="s">
        <v>67</v>
      </c>
    </row>
    <row r="483" spans="1:8" x14ac:dyDescent="0.25">
      <c r="A483" s="288"/>
      <c r="B483" s="268"/>
      <c r="C483" s="24" t="s">
        <v>13</v>
      </c>
      <c r="D483" s="264"/>
      <c r="E483" s="98" t="s">
        <v>65</v>
      </c>
      <c r="F483" s="15"/>
      <c r="G483" s="16"/>
      <c r="H483" s="4" t="s">
        <v>68</v>
      </c>
    </row>
    <row r="484" spans="1:8" x14ac:dyDescent="0.25">
      <c r="A484" s="288"/>
      <c r="B484" s="268"/>
      <c r="C484" s="25" t="s">
        <v>6</v>
      </c>
      <c r="D484" s="248">
        <v>1</v>
      </c>
      <c r="E484" s="98" t="s">
        <v>65</v>
      </c>
      <c r="F484" s="15"/>
      <c r="G484" s="16"/>
      <c r="H484" s="4" t="s">
        <v>51</v>
      </c>
    </row>
    <row r="485" spans="1:8" x14ac:dyDescent="0.25">
      <c r="A485" s="288"/>
      <c r="B485" s="268"/>
      <c r="C485" s="24" t="s">
        <v>6</v>
      </c>
      <c r="D485" s="265">
        <v>3</v>
      </c>
      <c r="E485" s="98" t="s">
        <v>69</v>
      </c>
      <c r="F485" s="15">
        <v>22</v>
      </c>
      <c r="G485" s="16" t="s">
        <v>195</v>
      </c>
      <c r="H485" s="4"/>
    </row>
    <row r="486" spans="1:8" x14ac:dyDescent="0.25">
      <c r="A486" s="288"/>
      <c r="B486" s="268"/>
      <c r="C486" s="24" t="s">
        <v>6</v>
      </c>
      <c r="D486" s="263"/>
      <c r="E486" s="143" t="s">
        <v>271</v>
      </c>
      <c r="F486" s="15">
        <v>22</v>
      </c>
      <c r="G486" s="16"/>
      <c r="H486" s="4" t="s">
        <v>150</v>
      </c>
    </row>
    <row r="487" spans="1:8" x14ac:dyDescent="0.25">
      <c r="A487" s="289"/>
      <c r="B487" s="269"/>
      <c r="C487" s="24" t="s">
        <v>6</v>
      </c>
      <c r="D487" s="264"/>
      <c r="E487" s="98" t="s">
        <v>274</v>
      </c>
      <c r="F487" s="80">
        <v>22</v>
      </c>
      <c r="G487" s="16"/>
      <c r="H487" s="4"/>
    </row>
    <row r="488" spans="1:8" x14ac:dyDescent="0.25">
      <c r="A488" s="287">
        <v>46129</v>
      </c>
      <c r="B488" s="261" t="s">
        <v>5</v>
      </c>
      <c r="C488" s="24" t="s">
        <v>13</v>
      </c>
      <c r="D488" s="265">
        <v>3</v>
      </c>
      <c r="E488" s="98" t="s">
        <v>61</v>
      </c>
      <c r="F488" s="15">
        <v>3</v>
      </c>
      <c r="G488" s="16">
        <v>111</v>
      </c>
      <c r="H488" s="4"/>
    </row>
    <row r="489" spans="1:8" x14ac:dyDescent="0.25">
      <c r="A489" s="288"/>
      <c r="B489" s="268"/>
      <c r="C489" s="24" t="s">
        <v>13</v>
      </c>
      <c r="D489" s="263"/>
      <c r="E489" s="98" t="s">
        <v>35</v>
      </c>
      <c r="F489" s="15">
        <v>20</v>
      </c>
      <c r="G489" s="16"/>
      <c r="H489" s="4"/>
    </row>
    <row r="490" spans="1:8" x14ac:dyDescent="0.25">
      <c r="A490" s="288"/>
      <c r="B490" s="268"/>
      <c r="C490" s="24" t="s">
        <v>13</v>
      </c>
      <c r="D490" s="264"/>
      <c r="E490" s="98" t="s">
        <v>93</v>
      </c>
      <c r="F490" s="15">
        <v>10</v>
      </c>
      <c r="G490" s="16"/>
      <c r="H490" s="4"/>
    </row>
    <row r="491" spans="1:8" x14ac:dyDescent="0.25">
      <c r="A491" s="288"/>
      <c r="B491" s="268"/>
      <c r="C491" s="24" t="s">
        <v>6</v>
      </c>
      <c r="D491" s="265">
        <v>1</v>
      </c>
      <c r="E491" s="98" t="s">
        <v>97</v>
      </c>
      <c r="F491" s="15">
        <v>6</v>
      </c>
      <c r="G491" s="16">
        <v>116</v>
      </c>
      <c r="H491" s="4"/>
    </row>
    <row r="492" spans="1:8" x14ac:dyDescent="0.25">
      <c r="A492" s="288"/>
      <c r="B492" s="268"/>
      <c r="C492" s="24" t="s">
        <v>6</v>
      </c>
      <c r="D492" s="264"/>
      <c r="E492" s="98" t="s">
        <v>94</v>
      </c>
      <c r="F492" s="15">
        <v>6</v>
      </c>
      <c r="G492" s="16"/>
      <c r="H492" s="4"/>
    </row>
    <row r="493" spans="1:8" x14ac:dyDescent="0.25">
      <c r="A493" s="288"/>
      <c r="B493" s="268"/>
      <c r="C493" s="24" t="s">
        <v>6</v>
      </c>
      <c r="D493" s="265">
        <v>3</v>
      </c>
      <c r="E493" s="143" t="s">
        <v>271</v>
      </c>
      <c r="F493" s="15">
        <v>34</v>
      </c>
      <c r="G493" s="16">
        <v>116</v>
      </c>
      <c r="H493" s="4" t="s">
        <v>59</v>
      </c>
    </row>
    <row r="494" spans="1:8" x14ac:dyDescent="0.25">
      <c r="A494" s="288"/>
      <c r="B494" s="268"/>
      <c r="C494" s="24" t="s">
        <v>6</v>
      </c>
      <c r="D494" s="263"/>
      <c r="E494" s="155" t="s">
        <v>200</v>
      </c>
      <c r="F494" s="15">
        <v>40</v>
      </c>
      <c r="G494" s="16"/>
      <c r="H494" s="4"/>
    </row>
    <row r="495" spans="1:8" x14ac:dyDescent="0.25">
      <c r="A495" s="288"/>
      <c r="B495" s="268"/>
      <c r="C495" s="24" t="s">
        <v>6</v>
      </c>
      <c r="D495" s="263"/>
      <c r="E495" s="98" t="s">
        <v>65</v>
      </c>
      <c r="F495" s="15"/>
      <c r="G495" s="16"/>
      <c r="H495" s="4"/>
    </row>
    <row r="496" spans="1:8" x14ac:dyDescent="0.25">
      <c r="A496" s="288"/>
      <c r="B496" s="268"/>
      <c r="C496" s="25" t="s">
        <v>6</v>
      </c>
      <c r="D496" s="264"/>
      <c r="E496" s="143" t="s">
        <v>271</v>
      </c>
      <c r="F496" s="15">
        <v>30</v>
      </c>
      <c r="G496" s="16">
        <v>101</v>
      </c>
      <c r="H496" s="4"/>
    </row>
    <row r="497" spans="1:8" x14ac:dyDescent="0.25">
      <c r="A497" s="288"/>
      <c r="B497" s="268"/>
      <c r="C497" s="24" t="s">
        <v>6</v>
      </c>
      <c r="D497" s="265">
        <v>2</v>
      </c>
      <c r="E497" s="98" t="s">
        <v>97</v>
      </c>
      <c r="F497" s="15">
        <v>5</v>
      </c>
      <c r="G497" s="16">
        <v>101</v>
      </c>
      <c r="H497" s="4"/>
    </row>
    <row r="498" spans="1:8" x14ac:dyDescent="0.25">
      <c r="A498" s="288"/>
      <c r="B498" s="268"/>
      <c r="C498" s="24" t="s">
        <v>6</v>
      </c>
      <c r="D498" s="263"/>
      <c r="E498" s="98" t="s">
        <v>94</v>
      </c>
      <c r="F498" s="15">
        <v>3</v>
      </c>
      <c r="G498" s="16"/>
      <c r="H498" s="4"/>
    </row>
    <row r="499" spans="1:8" x14ac:dyDescent="0.25">
      <c r="A499" s="288"/>
      <c r="B499" s="268"/>
      <c r="C499" s="24" t="s">
        <v>6</v>
      </c>
      <c r="D499" s="263"/>
      <c r="E499" s="98" t="s">
        <v>97</v>
      </c>
      <c r="F499" s="15">
        <v>4</v>
      </c>
      <c r="G499" s="16">
        <v>113</v>
      </c>
      <c r="H499" s="4"/>
    </row>
    <row r="500" spans="1:8" x14ac:dyDescent="0.25">
      <c r="A500" s="288"/>
      <c r="B500" s="268"/>
      <c r="C500" s="24" t="s">
        <v>6</v>
      </c>
      <c r="D500" s="264"/>
      <c r="E500" s="98" t="s">
        <v>94</v>
      </c>
      <c r="F500" s="15">
        <v>3</v>
      </c>
      <c r="G500" s="16"/>
      <c r="H500" s="4"/>
    </row>
    <row r="501" spans="1:8" x14ac:dyDescent="0.25">
      <c r="A501" s="288"/>
      <c r="B501" s="268"/>
      <c r="C501" s="24" t="s">
        <v>6</v>
      </c>
      <c r="D501" s="265">
        <v>3</v>
      </c>
      <c r="E501" s="98" t="s">
        <v>70</v>
      </c>
      <c r="F501" s="15">
        <v>1</v>
      </c>
      <c r="G501" s="16">
        <v>101</v>
      </c>
      <c r="H501" s="4"/>
    </row>
    <row r="502" spans="1:8" x14ac:dyDescent="0.25">
      <c r="A502" s="288"/>
      <c r="B502" s="268"/>
      <c r="C502" s="24" t="s">
        <v>6</v>
      </c>
      <c r="D502" s="263"/>
      <c r="E502" s="98" t="s">
        <v>71</v>
      </c>
      <c r="F502" s="15">
        <v>2</v>
      </c>
      <c r="G502" s="16"/>
      <c r="H502" s="4"/>
    </row>
    <row r="503" spans="1:8" x14ac:dyDescent="0.25">
      <c r="A503" s="288"/>
      <c r="B503" s="268"/>
      <c r="C503" s="24" t="s">
        <v>6</v>
      </c>
      <c r="D503" s="263"/>
      <c r="E503" s="143" t="s">
        <v>82</v>
      </c>
      <c r="F503" s="15">
        <v>4</v>
      </c>
      <c r="G503" s="16"/>
      <c r="H503" s="4"/>
    </row>
    <row r="504" spans="1:8" x14ac:dyDescent="0.25">
      <c r="A504" s="288"/>
      <c r="B504" s="268"/>
      <c r="C504" s="24" t="s">
        <v>6</v>
      </c>
      <c r="D504" s="264"/>
      <c r="E504" s="98" t="s">
        <v>308</v>
      </c>
      <c r="F504" s="15">
        <v>3</v>
      </c>
      <c r="G504" s="16"/>
      <c r="H504" s="4"/>
    </row>
    <row r="505" spans="1:8" x14ac:dyDescent="0.25">
      <c r="A505" s="288"/>
      <c r="B505" s="268"/>
      <c r="C505" s="24" t="s">
        <v>6</v>
      </c>
      <c r="D505" s="265">
        <v>13</v>
      </c>
      <c r="E505" s="98" t="s">
        <v>79</v>
      </c>
      <c r="F505" s="15">
        <v>9</v>
      </c>
      <c r="G505" s="16" t="s">
        <v>30</v>
      </c>
      <c r="H505" s="4"/>
    </row>
    <row r="506" spans="1:8" x14ac:dyDescent="0.25">
      <c r="A506" s="288"/>
      <c r="B506" s="268"/>
      <c r="C506" s="24" t="s">
        <v>6</v>
      </c>
      <c r="D506" s="263"/>
      <c r="E506" s="98" t="s">
        <v>26</v>
      </c>
      <c r="F506" s="15">
        <v>190</v>
      </c>
      <c r="G506" s="16"/>
      <c r="H506" s="4"/>
    </row>
    <row r="507" spans="1:8" x14ac:dyDescent="0.25">
      <c r="A507" s="288"/>
      <c r="B507" s="268"/>
      <c r="C507" s="24" t="s">
        <v>6</v>
      </c>
      <c r="D507" s="263"/>
      <c r="E507" s="143" t="s">
        <v>271</v>
      </c>
      <c r="F507" s="15">
        <v>100</v>
      </c>
      <c r="G507" s="16"/>
      <c r="H507" s="4"/>
    </row>
    <row r="508" spans="1:8" x14ac:dyDescent="0.25">
      <c r="A508" s="288"/>
      <c r="B508" s="268"/>
      <c r="C508" s="24" t="s">
        <v>6</v>
      </c>
      <c r="D508" s="264"/>
      <c r="E508" s="155" t="s">
        <v>200</v>
      </c>
      <c r="F508" s="15">
        <v>90</v>
      </c>
      <c r="G508" s="16"/>
      <c r="H508" s="4"/>
    </row>
    <row r="509" spans="1:8" x14ac:dyDescent="0.25">
      <c r="A509" s="288"/>
      <c r="B509" s="268"/>
      <c r="C509" s="24" t="s">
        <v>6</v>
      </c>
      <c r="D509" s="248">
        <v>2</v>
      </c>
      <c r="E509" s="98" t="s">
        <v>65</v>
      </c>
      <c r="F509" s="15"/>
      <c r="G509" s="16"/>
      <c r="H509" s="4" t="s">
        <v>72</v>
      </c>
    </row>
    <row r="510" spans="1:8" x14ac:dyDescent="0.25">
      <c r="A510" s="288"/>
      <c r="B510" s="268"/>
      <c r="C510" s="24" t="s">
        <v>6</v>
      </c>
      <c r="D510" s="248">
        <v>2</v>
      </c>
      <c r="E510" s="98" t="s">
        <v>65</v>
      </c>
      <c r="F510" s="15"/>
      <c r="G510" s="16"/>
      <c r="H510" s="4" t="s">
        <v>51</v>
      </c>
    </row>
    <row r="511" spans="1:8" x14ac:dyDescent="0.25">
      <c r="A511" s="289"/>
      <c r="B511" s="269"/>
      <c r="C511" s="24" t="s">
        <v>6</v>
      </c>
      <c r="D511" s="248">
        <v>2</v>
      </c>
      <c r="E511" s="98" t="s">
        <v>65</v>
      </c>
      <c r="F511" s="15"/>
      <c r="G511" s="16"/>
      <c r="H511" s="4" t="s">
        <v>66</v>
      </c>
    </row>
    <row r="512" spans="1:8" x14ac:dyDescent="0.25">
      <c r="A512" s="287">
        <v>46130</v>
      </c>
      <c r="B512" s="261" t="s">
        <v>36</v>
      </c>
      <c r="C512" s="25" t="s">
        <v>6</v>
      </c>
      <c r="D512" s="248">
        <v>2</v>
      </c>
      <c r="E512" s="98" t="s">
        <v>97</v>
      </c>
      <c r="F512" s="15">
        <v>6</v>
      </c>
      <c r="G512" s="16">
        <v>113</v>
      </c>
      <c r="H512" s="4"/>
    </row>
    <row r="513" spans="1:8" x14ac:dyDescent="0.25">
      <c r="A513" s="288"/>
      <c r="B513" s="268"/>
      <c r="C513" s="24" t="s">
        <v>6</v>
      </c>
      <c r="D513" s="265">
        <v>5</v>
      </c>
      <c r="E513" s="154" t="s">
        <v>73</v>
      </c>
      <c r="F513" s="9">
        <v>-12</v>
      </c>
      <c r="G513" s="26">
        <v>116</v>
      </c>
      <c r="H513" s="27" t="s">
        <v>238</v>
      </c>
    </row>
    <row r="514" spans="1:8" x14ac:dyDescent="0.25">
      <c r="A514" s="288"/>
      <c r="B514" s="268"/>
      <c r="C514" s="24" t="s">
        <v>6</v>
      </c>
      <c r="D514" s="263"/>
      <c r="E514" s="98" t="s">
        <v>83</v>
      </c>
      <c r="F514" s="15">
        <v>15</v>
      </c>
      <c r="G514" s="16"/>
      <c r="H514" s="4"/>
    </row>
    <row r="515" spans="1:8" x14ac:dyDescent="0.25">
      <c r="A515" s="288"/>
      <c r="B515" s="268"/>
      <c r="C515" s="24" t="s">
        <v>6</v>
      </c>
      <c r="D515" s="264"/>
      <c r="E515" s="98" t="s">
        <v>58</v>
      </c>
      <c r="F515" s="15">
        <v>32</v>
      </c>
      <c r="G515" s="16"/>
      <c r="H515" s="4"/>
    </row>
    <row r="516" spans="1:8" x14ac:dyDescent="0.25">
      <c r="A516" s="288"/>
      <c r="B516" s="268"/>
      <c r="C516" s="24" t="s">
        <v>6</v>
      </c>
      <c r="D516" s="265">
        <v>7</v>
      </c>
      <c r="E516" s="98" t="s">
        <v>112</v>
      </c>
      <c r="F516" s="15">
        <v>18</v>
      </c>
      <c r="G516" s="16">
        <v>116</v>
      </c>
      <c r="H516" s="4"/>
    </row>
    <row r="517" spans="1:8" x14ac:dyDescent="0.25">
      <c r="A517" s="288"/>
      <c r="B517" s="268"/>
      <c r="C517" s="24" t="s">
        <v>6</v>
      </c>
      <c r="D517" s="263"/>
      <c r="E517" s="98" t="s">
        <v>73</v>
      </c>
      <c r="F517" s="15">
        <v>18</v>
      </c>
      <c r="G517" s="16"/>
      <c r="H517" s="4"/>
    </row>
    <row r="518" spans="1:8" x14ac:dyDescent="0.25">
      <c r="A518" s="289"/>
      <c r="B518" s="269"/>
      <c r="C518" s="24" t="s">
        <v>6</v>
      </c>
      <c r="D518" s="264"/>
      <c r="E518" s="98" t="s">
        <v>65</v>
      </c>
      <c r="F518" s="15"/>
      <c r="G518" s="16"/>
      <c r="H518" s="4" t="s">
        <v>74</v>
      </c>
    </row>
    <row r="519" spans="1:8" x14ac:dyDescent="0.25">
      <c r="A519" s="287">
        <v>46130</v>
      </c>
      <c r="B519" s="261" t="s">
        <v>5</v>
      </c>
      <c r="C519" s="24" t="s">
        <v>6</v>
      </c>
      <c r="D519" s="265">
        <v>1</v>
      </c>
      <c r="E519" s="98" t="s">
        <v>97</v>
      </c>
      <c r="F519" s="15">
        <v>2</v>
      </c>
      <c r="G519" s="16">
        <v>113</v>
      </c>
      <c r="H519" s="4"/>
    </row>
    <row r="520" spans="1:8" x14ac:dyDescent="0.25">
      <c r="A520" s="288"/>
      <c r="B520" s="268"/>
      <c r="C520" s="24" t="s">
        <v>6</v>
      </c>
      <c r="D520" s="264"/>
      <c r="E520" s="98" t="s">
        <v>94</v>
      </c>
      <c r="F520" s="15">
        <v>2</v>
      </c>
      <c r="G520" s="16"/>
      <c r="H520" s="4"/>
    </row>
    <row r="521" spans="1:8" x14ac:dyDescent="0.25">
      <c r="A521" s="288"/>
      <c r="B521" s="268"/>
      <c r="C521" s="24" t="s">
        <v>13</v>
      </c>
      <c r="D521" s="265">
        <v>4</v>
      </c>
      <c r="E521" s="98" t="s">
        <v>35</v>
      </c>
      <c r="F521" s="15">
        <v>9</v>
      </c>
      <c r="G521" s="16">
        <v>101</v>
      </c>
      <c r="H521" s="4"/>
    </row>
    <row r="522" spans="1:8" x14ac:dyDescent="0.25">
      <c r="A522" s="288"/>
      <c r="B522" s="268"/>
      <c r="C522" s="24" t="s">
        <v>13</v>
      </c>
      <c r="D522" s="263"/>
      <c r="E522" s="98" t="s">
        <v>93</v>
      </c>
      <c r="F522" s="15">
        <v>4</v>
      </c>
      <c r="G522" s="16"/>
      <c r="H522" s="4"/>
    </row>
    <row r="523" spans="1:8" x14ac:dyDescent="0.25">
      <c r="A523" s="288"/>
      <c r="B523" s="268"/>
      <c r="C523" s="24" t="s">
        <v>13</v>
      </c>
      <c r="D523" s="264"/>
      <c r="E523" s="98" t="s">
        <v>65</v>
      </c>
      <c r="F523" s="15"/>
      <c r="G523" s="16"/>
      <c r="H523" s="4" t="s">
        <v>74</v>
      </c>
    </row>
    <row r="524" spans="1:8" x14ac:dyDescent="0.25">
      <c r="A524" s="288"/>
      <c r="B524" s="268"/>
      <c r="C524" s="24" t="s">
        <v>6</v>
      </c>
      <c r="D524" s="265">
        <v>3</v>
      </c>
      <c r="E524" s="98" t="s">
        <v>73</v>
      </c>
      <c r="F524" s="15">
        <v>6</v>
      </c>
      <c r="G524" s="16">
        <v>116</v>
      </c>
      <c r="H524" s="4"/>
    </row>
    <row r="525" spans="1:8" x14ac:dyDescent="0.25">
      <c r="A525" s="288"/>
      <c r="B525" s="268"/>
      <c r="C525" s="24" t="s">
        <v>6</v>
      </c>
      <c r="D525" s="263"/>
      <c r="E525" s="98" t="s">
        <v>99</v>
      </c>
      <c r="F525" s="15">
        <v>1</v>
      </c>
      <c r="G525" s="16"/>
      <c r="H525" s="4"/>
    </row>
    <row r="526" spans="1:8" x14ac:dyDescent="0.25">
      <c r="A526" s="288"/>
      <c r="B526" s="268"/>
      <c r="C526" s="24" t="s">
        <v>6</v>
      </c>
      <c r="D526" s="264"/>
      <c r="E526" s="98" t="s">
        <v>65</v>
      </c>
      <c r="F526" s="15"/>
      <c r="G526" s="16"/>
      <c r="H526" s="4" t="s">
        <v>74</v>
      </c>
    </row>
    <row r="527" spans="1:8" x14ac:dyDescent="0.25">
      <c r="A527" s="288"/>
      <c r="B527" s="268"/>
      <c r="C527" s="24" t="s">
        <v>6</v>
      </c>
      <c r="D527" s="265">
        <v>5</v>
      </c>
      <c r="E527" s="98" t="s">
        <v>26</v>
      </c>
      <c r="F527" s="15">
        <v>48</v>
      </c>
      <c r="G527" s="16" t="s">
        <v>195</v>
      </c>
      <c r="H527" s="4"/>
    </row>
    <row r="528" spans="1:8" x14ac:dyDescent="0.25">
      <c r="A528" s="288"/>
      <c r="B528" s="268"/>
      <c r="C528" s="24" t="s">
        <v>6</v>
      </c>
      <c r="D528" s="264"/>
      <c r="E528" s="143" t="s">
        <v>271</v>
      </c>
      <c r="F528" s="15">
        <v>26</v>
      </c>
      <c r="G528" s="16"/>
      <c r="H528" s="4"/>
    </row>
    <row r="529" spans="1:8" x14ac:dyDescent="0.25">
      <c r="A529" s="288"/>
      <c r="B529" s="268"/>
      <c r="C529" s="24" t="s">
        <v>6</v>
      </c>
      <c r="D529" s="248">
        <v>6</v>
      </c>
      <c r="E529" s="98" t="s">
        <v>94</v>
      </c>
      <c r="F529" s="15">
        <v>16</v>
      </c>
      <c r="G529" s="16"/>
      <c r="H529" s="4"/>
    </row>
    <row r="530" spans="1:8" x14ac:dyDescent="0.25">
      <c r="A530" s="288"/>
      <c r="B530" s="268"/>
      <c r="C530" s="25" t="s">
        <v>6</v>
      </c>
      <c r="D530" s="248">
        <v>6</v>
      </c>
      <c r="E530" s="98" t="s">
        <v>97</v>
      </c>
      <c r="F530" s="15">
        <v>16</v>
      </c>
      <c r="G530" s="16" t="s">
        <v>30</v>
      </c>
      <c r="H530" s="4"/>
    </row>
    <row r="531" spans="1:8" x14ac:dyDescent="0.25">
      <c r="A531" s="288"/>
      <c r="B531" s="268"/>
      <c r="C531" s="24" t="s">
        <v>6</v>
      </c>
      <c r="D531" s="248">
        <v>2</v>
      </c>
      <c r="E531" s="98" t="s">
        <v>65</v>
      </c>
      <c r="F531" s="15"/>
      <c r="G531" s="16"/>
      <c r="H531" s="4" t="s">
        <v>72</v>
      </c>
    </row>
    <row r="532" spans="1:8" x14ac:dyDescent="0.25">
      <c r="A532" s="288"/>
      <c r="B532" s="268"/>
      <c r="C532" s="24" t="s">
        <v>6</v>
      </c>
      <c r="D532" s="248">
        <v>2</v>
      </c>
      <c r="E532" s="98" t="s">
        <v>65</v>
      </c>
      <c r="F532" s="15"/>
      <c r="G532" s="16"/>
      <c r="H532" s="4" t="s">
        <v>51</v>
      </c>
    </row>
    <row r="533" spans="1:8" x14ac:dyDescent="0.25">
      <c r="A533" s="289"/>
      <c r="B533" s="269"/>
      <c r="C533" s="24" t="s">
        <v>6</v>
      </c>
      <c r="D533" s="248">
        <v>2</v>
      </c>
      <c r="E533" s="98" t="s">
        <v>65</v>
      </c>
      <c r="F533" s="15"/>
      <c r="G533" s="16"/>
      <c r="H533" s="4" t="s">
        <v>66</v>
      </c>
    </row>
    <row r="534" spans="1:8" x14ac:dyDescent="0.25">
      <c r="A534" s="287">
        <v>46131</v>
      </c>
      <c r="B534" s="261" t="s">
        <v>36</v>
      </c>
      <c r="C534" s="24" t="s">
        <v>6</v>
      </c>
      <c r="D534" s="265">
        <v>3</v>
      </c>
      <c r="E534" s="98" t="s">
        <v>73</v>
      </c>
      <c r="F534" s="15">
        <v>2</v>
      </c>
      <c r="G534" s="16">
        <v>116</v>
      </c>
      <c r="H534" s="4"/>
    </row>
    <row r="535" spans="1:8" x14ac:dyDescent="0.25">
      <c r="A535" s="288"/>
      <c r="B535" s="268"/>
      <c r="C535" s="24" t="s">
        <v>6</v>
      </c>
      <c r="D535" s="264"/>
      <c r="E535" s="98" t="s">
        <v>308</v>
      </c>
      <c r="F535" s="15">
        <v>10</v>
      </c>
      <c r="G535" s="16"/>
      <c r="H535" s="4"/>
    </row>
    <row r="536" spans="1:8" x14ac:dyDescent="0.25">
      <c r="A536" s="288"/>
      <c r="B536" s="268"/>
      <c r="C536" s="25" t="s">
        <v>13</v>
      </c>
      <c r="D536" s="248">
        <v>4</v>
      </c>
      <c r="E536" s="98" t="s">
        <v>26</v>
      </c>
      <c r="F536" s="15">
        <v>31</v>
      </c>
      <c r="G536" s="16" t="s">
        <v>195</v>
      </c>
      <c r="H536" s="4"/>
    </row>
    <row r="537" spans="1:8" x14ac:dyDescent="0.25">
      <c r="A537" s="288"/>
      <c r="B537" s="268"/>
      <c r="C537" s="24" t="s">
        <v>13</v>
      </c>
      <c r="D537" s="265">
        <v>4</v>
      </c>
      <c r="E537" s="143" t="s">
        <v>80</v>
      </c>
      <c r="F537" s="15">
        <v>15</v>
      </c>
      <c r="G537" s="16">
        <v>101</v>
      </c>
      <c r="H537" s="4"/>
    </row>
    <row r="538" spans="1:8" x14ac:dyDescent="0.25">
      <c r="A538" s="288"/>
      <c r="B538" s="268"/>
      <c r="C538" s="24" t="s">
        <v>13</v>
      </c>
      <c r="D538" s="263"/>
      <c r="E538" s="98" t="s">
        <v>93</v>
      </c>
      <c r="F538" s="15">
        <v>6</v>
      </c>
      <c r="G538" s="16"/>
      <c r="H538" s="4"/>
    </row>
    <row r="539" spans="1:8" x14ac:dyDescent="0.25">
      <c r="A539" s="288"/>
      <c r="B539" s="268"/>
      <c r="C539" s="24" t="s">
        <v>13</v>
      </c>
      <c r="D539" s="264"/>
      <c r="E539" s="98" t="s">
        <v>35</v>
      </c>
      <c r="F539" s="15">
        <v>15</v>
      </c>
      <c r="G539" s="16"/>
      <c r="H539" s="4"/>
    </row>
    <row r="540" spans="1:8" x14ac:dyDescent="0.25">
      <c r="A540" s="288"/>
      <c r="B540" s="268"/>
      <c r="C540" s="24" t="s">
        <v>6</v>
      </c>
      <c r="D540" s="265">
        <v>9</v>
      </c>
      <c r="E540" s="98" t="s">
        <v>79</v>
      </c>
      <c r="F540" s="15">
        <v>12</v>
      </c>
      <c r="G540" s="16" t="s">
        <v>195</v>
      </c>
      <c r="H540" s="4"/>
    </row>
    <row r="541" spans="1:8" x14ac:dyDescent="0.25">
      <c r="A541" s="289"/>
      <c r="B541" s="269"/>
      <c r="C541" s="24" t="s">
        <v>6</v>
      </c>
      <c r="D541" s="264"/>
      <c r="E541" s="98" t="s">
        <v>26</v>
      </c>
      <c r="F541" s="15">
        <v>55</v>
      </c>
      <c r="G541" s="16"/>
      <c r="H541" s="4"/>
    </row>
    <row r="542" spans="1:8" x14ac:dyDescent="0.25">
      <c r="A542" s="287">
        <v>46131</v>
      </c>
      <c r="B542" s="261" t="s">
        <v>5</v>
      </c>
      <c r="C542" s="24" t="s">
        <v>13</v>
      </c>
      <c r="D542" s="265">
        <v>4</v>
      </c>
      <c r="E542" s="98" t="s">
        <v>35</v>
      </c>
      <c r="F542" s="15">
        <v>15</v>
      </c>
      <c r="G542" s="16">
        <v>101</v>
      </c>
      <c r="H542" s="4" t="s">
        <v>162</v>
      </c>
    </row>
    <row r="543" spans="1:8" x14ac:dyDescent="0.25">
      <c r="A543" s="288"/>
      <c r="B543" s="268"/>
      <c r="C543" s="24" t="s">
        <v>13</v>
      </c>
      <c r="D543" s="264"/>
      <c r="E543" s="98" t="s">
        <v>93</v>
      </c>
      <c r="F543" s="15">
        <v>8</v>
      </c>
      <c r="G543" s="16"/>
      <c r="H543" s="4"/>
    </row>
    <row r="544" spans="1:8" x14ac:dyDescent="0.25">
      <c r="A544" s="288"/>
      <c r="B544" s="268"/>
      <c r="C544" s="24" t="s">
        <v>6</v>
      </c>
      <c r="D544" s="265">
        <v>5</v>
      </c>
      <c r="E544" s="155" t="s">
        <v>200</v>
      </c>
      <c r="F544" s="15">
        <v>50</v>
      </c>
      <c r="G544" s="16" t="s">
        <v>195</v>
      </c>
      <c r="H544" s="4"/>
    </row>
    <row r="545" spans="1:8" x14ac:dyDescent="0.25">
      <c r="A545" s="288"/>
      <c r="B545" s="268"/>
      <c r="C545" s="24" t="s">
        <v>6</v>
      </c>
      <c r="D545" s="264"/>
      <c r="E545" s="98" t="s">
        <v>26</v>
      </c>
      <c r="F545" s="15">
        <v>50</v>
      </c>
      <c r="G545" s="16"/>
      <c r="H545" s="4"/>
    </row>
    <row r="546" spans="1:8" x14ac:dyDescent="0.25">
      <c r="A546" s="288"/>
      <c r="B546" s="268"/>
      <c r="C546" s="24" t="s">
        <v>6</v>
      </c>
      <c r="D546" s="265">
        <v>4</v>
      </c>
      <c r="E546" s="98" t="s">
        <v>85</v>
      </c>
      <c r="F546" s="15">
        <v>8</v>
      </c>
      <c r="G546" s="16">
        <v>116</v>
      </c>
      <c r="H546" s="4"/>
    </row>
    <row r="547" spans="1:8" x14ac:dyDescent="0.25">
      <c r="A547" s="288"/>
      <c r="B547" s="268"/>
      <c r="C547" s="24" t="s">
        <v>6</v>
      </c>
      <c r="D547" s="264"/>
      <c r="E547" s="98" t="s">
        <v>73</v>
      </c>
      <c r="F547" s="15">
        <v>8</v>
      </c>
      <c r="G547" s="16"/>
      <c r="H547" s="4"/>
    </row>
    <row r="548" spans="1:8" x14ac:dyDescent="0.25">
      <c r="A548" s="288"/>
      <c r="B548" s="268"/>
      <c r="C548" s="24" t="s">
        <v>6</v>
      </c>
      <c r="D548" s="265">
        <v>4</v>
      </c>
      <c r="E548" s="98" t="s">
        <v>26</v>
      </c>
      <c r="F548" s="15">
        <v>30</v>
      </c>
      <c r="G548" s="16" t="s">
        <v>195</v>
      </c>
      <c r="H548" s="4"/>
    </row>
    <row r="549" spans="1:8" x14ac:dyDescent="0.25">
      <c r="A549" s="288"/>
      <c r="B549" s="268"/>
      <c r="C549" s="24" t="s">
        <v>6</v>
      </c>
      <c r="D549" s="264"/>
      <c r="E549" s="155" t="s">
        <v>200</v>
      </c>
      <c r="F549" s="15">
        <v>30</v>
      </c>
      <c r="G549" s="16"/>
      <c r="H549" s="4"/>
    </row>
    <row r="550" spans="1:8" x14ac:dyDescent="0.25">
      <c r="A550" s="288"/>
      <c r="B550" s="268"/>
      <c r="C550" s="25" t="s">
        <v>6</v>
      </c>
      <c r="D550" s="248">
        <v>4</v>
      </c>
      <c r="E550" s="96" t="s">
        <v>356</v>
      </c>
      <c r="F550" s="15">
        <v>8</v>
      </c>
      <c r="G550" s="16" t="s">
        <v>157</v>
      </c>
      <c r="H550" s="4"/>
    </row>
    <row r="551" spans="1:8" x14ac:dyDescent="0.25">
      <c r="A551" s="288"/>
      <c r="B551" s="268"/>
      <c r="C551" s="24" t="s">
        <v>6</v>
      </c>
      <c r="D551" s="265">
        <v>6</v>
      </c>
      <c r="E551" s="98" t="s">
        <v>151</v>
      </c>
      <c r="F551" s="15">
        <v>20</v>
      </c>
      <c r="G551" s="16" t="s">
        <v>75</v>
      </c>
      <c r="H551" s="4"/>
    </row>
    <row r="552" spans="1:8" x14ac:dyDescent="0.25">
      <c r="A552" s="288"/>
      <c r="B552" s="268"/>
      <c r="C552" s="24" t="s">
        <v>6</v>
      </c>
      <c r="D552" s="264"/>
      <c r="E552" s="158" t="s">
        <v>115</v>
      </c>
      <c r="F552" s="15">
        <v>8</v>
      </c>
      <c r="G552" s="16"/>
      <c r="H552" s="4"/>
    </row>
    <row r="553" spans="1:8" x14ac:dyDescent="0.25">
      <c r="A553" s="288"/>
      <c r="B553" s="268"/>
      <c r="C553" s="24" t="s">
        <v>6</v>
      </c>
      <c r="D553" s="265">
        <v>2</v>
      </c>
      <c r="E553" s="98" t="s">
        <v>97</v>
      </c>
      <c r="F553" s="15">
        <v>4</v>
      </c>
      <c r="G553" s="16" t="s">
        <v>195</v>
      </c>
      <c r="H553" s="4"/>
    </row>
    <row r="554" spans="1:8" x14ac:dyDescent="0.25">
      <c r="A554" s="288"/>
      <c r="B554" s="268"/>
      <c r="C554" s="24" t="s">
        <v>6</v>
      </c>
      <c r="D554" s="264"/>
      <c r="E554" s="98" t="s">
        <v>94</v>
      </c>
      <c r="F554" s="15">
        <v>6</v>
      </c>
      <c r="G554" s="16"/>
      <c r="H554" s="4"/>
    </row>
    <row r="555" spans="1:8" ht="31.5" x14ac:dyDescent="0.25">
      <c r="A555" s="288"/>
      <c r="B555" s="268"/>
      <c r="C555" s="24" t="s">
        <v>6</v>
      </c>
      <c r="D555" s="248">
        <v>2</v>
      </c>
      <c r="E555" s="98" t="s">
        <v>65</v>
      </c>
      <c r="F555" s="15"/>
      <c r="G555" s="16"/>
      <c r="H555" s="4" t="s">
        <v>76</v>
      </c>
    </row>
    <row r="556" spans="1:8" x14ac:dyDescent="0.25">
      <c r="A556" s="289"/>
      <c r="B556" s="269"/>
      <c r="C556" s="24" t="s">
        <v>6</v>
      </c>
      <c r="D556" s="248">
        <v>2</v>
      </c>
      <c r="E556" s="98" t="s">
        <v>65</v>
      </c>
      <c r="F556" s="15"/>
      <c r="G556" s="16"/>
      <c r="H556" s="4" t="s">
        <v>66</v>
      </c>
    </row>
    <row r="557" spans="1:8" x14ac:dyDescent="0.25">
      <c r="A557" s="287">
        <v>46132</v>
      </c>
      <c r="B557" s="261" t="s">
        <v>36</v>
      </c>
      <c r="C557" s="24" t="s">
        <v>13</v>
      </c>
      <c r="D557" s="265">
        <v>4</v>
      </c>
      <c r="E557" s="98" t="s">
        <v>93</v>
      </c>
      <c r="F557" s="15">
        <v>17</v>
      </c>
      <c r="G557" s="16" t="s">
        <v>195</v>
      </c>
      <c r="H557" s="4"/>
    </row>
    <row r="558" spans="1:8" x14ac:dyDescent="0.25">
      <c r="A558" s="288"/>
      <c r="B558" s="268"/>
      <c r="C558" s="24" t="s">
        <v>13</v>
      </c>
      <c r="D558" s="263"/>
      <c r="E558" s="98" t="s">
        <v>26</v>
      </c>
      <c r="F558" s="15">
        <v>10</v>
      </c>
      <c r="G558" s="22" t="s">
        <v>198</v>
      </c>
      <c r="H558" s="4"/>
    </row>
    <row r="559" spans="1:8" x14ac:dyDescent="0.25">
      <c r="A559" s="288"/>
      <c r="B559" s="268"/>
      <c r="C559" s="24" t="s">
        <v>13</v>
      </c>
      <c r="D559" s="264"/>
      <c r="E559" s="143" t="s">
        <v>271</v>
      </c>
      <c r="F559" s="15">
        <v>10</v>
      </c>
      <c r="G559" s="22" t="s">
        <v>198</v>
      </c>
      <c r="H559" s="4"/>
    </row>
    <row r="560" spans="1:8" x14ac:dyDescent="0.25">
      <c r="A560" s="288"/>
      <c r="B560" s="268"/>
      <c r="C560" s="24" t="s">
        <v>13</v>
      </c>
      <c r="D560" s="265">
        <v>4</v>
      </c>
      <c r="E560" s="98" t="s">
        <v>86</v>
      </c>
      <c r="F560" s="15">
        <v>24</v>
      </c>
      <c r="G560" s="6" t="s">
        <v>165</v>
      </c>
      <c r="H560" s="4"/>
    </row>
    <row r="561" spans="1:8" x14ac:dyDescent="0.25">
      <c r="A561" s="288"/>
      <c r="B561" s="268"/>
      <c r="C561" s="24" t="s">
        <v>13</v>
      </c>
      <c r="D561" s="263"/>
      <c r="E561" s="98" t="s">
        <v>77</v>
      </c>
      <c r="F561" s="15">
        <v>13</v>
      </c>
      <c r="G561" s="6"/>
      <c r="H561" s="4"/>
    </row>
    <row r="562" spans="1:8" x14ac:dyDescent="0.25">
      <c r="A562" s="288"/>
      <c r="B562" s="268"/>
      <c r="C562" s="24" t="s">
        <v>13</v>
      </c>
      <c r="D562" s="264"/>
      <c r="E562" s="98" t="s">
        <v>78</v>
      </c>
      <c r="F562" s="15">
        <v>24</v>
      </c>
      <c r="G562" s="6"/>
      <c r="H562" s="4"/>
    </row>
    <row r="563" spans="1:8" x14ac:dyDescent="0.25">
      <c r="A563" s="288"/>
      <c r="B563" s="268"/>
      <c r="C563" s="25" t="s">
        <v>13</v>
      </c>
      <c r="D563" s="248">
        <v>4</v>
      </c>
      <c r="E563" s="98" t="s">
        <v>79</v>
      </c>
      <c r="F563" s="15">
        <v>10</v>
      </c>
      <c r="G563" s="6" t="s">
        <v>166</v>
      </c>
      <c r="H563" s="4"/>
    </row>
    <row r="564" spans="1:8" x14ac:dyDescent="0.25">
      <c r="A564" s="288"/>
      <c r="B564" s="268"/>
      <c r="C564" s="24" t="s">
        <v>13</v>
      </c>
      <c r="D564" s="265">
        <v>4</v>
      </c>
      <c r="E564" s="143" t="s">
        <v>80</v>
      </c>
      <c r="F564" s="15">
        <v>7</v>
      </c>
      <c r="G564" s="332" t="s">
        <v>167</v>
      </c>
      <c r="H564" s="4"/>
    </row>
    <row r="565" spans="1:8" x14ac:dyDescent="0.25">
      <c r="A565" s="288"/>
      <c r="B565" s="268"/>
      <c r="C565" s="24" t="s">
        <v>13</v>
      </c>
      <c r="D565" s="263"/>
      <c r="E565" s="98" t="s">
        <v>93</v>
      </c>
      <c r="F565" s="15">
        <v>2</v>
      </c>
      <c r="G565" s="332"/>
      <c r="H565" s="4"/>
    </row>
    <row r="566" spans="1:8" x14ac:dyDescent="0.25">
      <c r="A566" s="288"/>
      <c r="B566" s="268"/>
      <c r="C566" s="24" t="s">
        <v>13</v>
      </c>
      <c r="D566" s="264"/>
      <c r="E566" s="98" t="s">
        <v>35</v>
      </c>
      <c r="F566" s="15">
        <v>7</v>
      </c>
      <c r="G566" s="332"/>
      <c r="H566" s="4"/>
    </row>
    <row r="567" spans="1:8" x14ac:dyDescent="0.25">
      <c r="A567" s="289"/>
      <c r="B567" s="269"/>
      <c r="C567" s="25" t="s">
        <v>6</v>
      </c>
      <c r="D567" s="248">
        <v>4</v>
      </c>
      <c r="E567" s="98" t="s">
        <v>151</v>
      </c>
      <c r="F567" s="15">
        <v>54</v>
      </c>
      <c r="G567" s="6"/>
      <c r="H567" s="4"/>
    </row>
    <row r="568" spans="1:8" x14ac:dyDescent="0.25">
      <c r="A568" s="287">
        <v>46132</v>
      </c>
      <c r="B568" s="261" t="s">
        <v>5</v>
      </c>
      <c r="C568" s="24" t="s">
        <v>6</v>
      </c>
      <c r="D568" s="265">
        <v>4</v>
      </c>
      <c r="E568" s="151" t="s">
        <v>73</v>
      </c>
      <c r="F568" s="28">
        <v>6</v>
      </c>
      <c r="G568" s="16">
        <v>116</v>
      </c>
      <c r="H568" s="14"/>
    </row>
    <row r="569" spans="1:8" x14ac:dyDescent="0.25">
      <c r="A569" s="288"/>
      <c r="B569" s="268"/>
      <c r="C569" s="24" t="s">
        <v>6</v>
      </c>
      <c r="D569" s="263"/>
      <c r="E569" s="98" t="s">
        <v>99</v>
      </c>
      <c r="F569" s="28">
        <v>1</v>
      </c>
      <c r="G569" s="16"/>
      <c r="H569" s="14"/>
    </row>
    <row r="570" spans="1:8" x14ac:dyDescent="0.25">
      <c r="A570" s="288"/>
      <c r="B570" s="268"/>
      <c r="C570" s="24" t="s">
        <v>6</v>
      </c>
      <c r="D570" s="263"/>
      <c r="E570" s="151" t="s">
        <v>85</v>
      </c>
      <c r="F570" s="28">
        <v>4</v>
      </c>
      <c r="G570" s="16"/>
      <c r="H570" s="14"/>
    </row>
    <row r="571" spans="1:8" x14ac:dyDescent="0.25">
      <c r="A571" s="288"/>
      <c r="B571" s="268"/>
      <c r="C571" s="24" t="s">
        <v>6</v>
      </c>
      <c r="D571" s="264"/>
      <c r="E571" s="151" t="s">
        <v>65</v>
      </c>
      <c r="F571" s="28"/>
      <c r="G571" s="16"/>
      <c r="H571" s="14" t="s">
        <v>100</v>
      </c>
    </row>
    <row r="572" spans="1:8" ht="47.25" x14ac:dyDescent="0.25">
      <c r="A572" s="288"/>
      <c r="B572" s="268"/>
      <c r="C572" s="25" t="s">
        <v>6</v>
      </c>
      <c r="D572" s="248">
        <v>4</v>
      </c>
      <c r="E572" s="143" t="s">
        <v>283</v>
      </c>
      <c r="F572" s="15">
        <v>70</v>
      </c>
      <c r="G572" s="16"/>
      <c r="H572" s="14" t="s">
        <v>101</v>
      </c>
    </row>
    <row r="573" spans="1:8" x14ac:dyDescent="0.25">
      <c r="A573" s="288"/>
      <c r="B573" s="268"/>
      <c r="C573" s="24" t="s">
        <v>6</v>
      </c>
      <c r="D573" s="265">
        <v>4</v>
      </c>
      <c r="E573" s="155" t="s">
        <v>200</v>
      </c>
      <c r="F573" s="15">
        <v>60</v>
      </c>
      <c r="G573" s="29" t="s">
        <v>102</v>
      </c>
      <c r="H573" s="14"/>
    </row>
    <row r="574" spans="1:8" x14ac:dyDescent="0.25">
      <c r="A574" s="288"/>
      <c r="B574" s="268"/>
      <c r="C574" s="24" t="s">
        <v>6</v>
      </c>
      <c r="D574" s="264"/>
      <c r="E574" s="151" t="s">
        <v>26</v>
      </c>
      <c r="F574" s="15">
        <v>60</v>
      </c>
      <c r="G574" s="16"/>
      <c r="H574" s="14"/>
    </row>
    <row r="575" spans="1:8" x14ac:dyDescent="0.25">
      <c r="A575" s="288"/>
      <c r="B575" s="268"/>
      <c r="C575" s="24" t="s">
        <v>13</v>
      </c>
      <c r="D575" s="265">
        <v>5</v>
      </c>
      <c r="E575" s="151" t="s">
        <v>35</v>
      </c>
      <c r="F575" s="15">
        <v>5</v>
      </c>
      <c r="G575" s="16"/>
      <c r="H575" s="14"/>
    </row>
    <row r="576" spans="1:8" x14ac:dyDescent="0.25">
      <c r="A576" s="288"/>
      <c r="B576" s="268"/>
      <c r="C576" s="24" t="s">
        <v>13</v>
      </c>
      <c r="D576" s="263"/>
      <c r="E576" s="151" t="s">
        <v>93</v>
      </c>
      <c r="F576" s="15">
        <v>2</v>
      </c>
      <c r="G576" s="16"/>
      <c r="H576" s="14"/>
    </row>
    <row r="577" spans="1:8" x14ac:dyDescent="0.25">
      <c r="A577" s="288"/>
      <c r="B577" s="268"/>
      <c r="C577" s="24" t="s">
        <v>13</v>
      </c>
      <c r="D577" s="263"/>
      <c r="E577" s="151" t="s">
        <v>79</v>
      </c>
      <c r="F577" s="15">
        <v>2</v>
      </c>
      <c r="G577" s="16"/>
      <c r="H577" s="14"/>
    </row>
    <row r="578" spans="1:8" x14ac:dyDescent="0.25">
      <c r="A578" s="288"/>
      <c r="B578" s="268"/>
      <c r="C578" s="24" t="s">
        <v>13</v>
      </c>
      <c r="D578" s="263"/>
      <c r="E578" s="151" t="s">
        <v>35</v>
      </c>
      <c r="F578" s="15">
        <v>3</v>
      </c>
      <c r="G578" s="16"/>
      <c r="H578" s="14"/>
    </row>
    <row r="579" spans="1:8" x14ac:dyDescent="0.25">
      <c r="A579" s="288"/>
      <c r="B579" s="268"/>
      <c r="C579" s="24" t="s">
        <v>13</v>
      </c>
      <c r="D579" s="263"/>
      <c r="E579" s="151" t="s">
        <v>93</v>
      </c>
      <c r="F579" s="15">
        <v>1</v>
      </c>
      <c r="G579" s="16"/>
      <c r="H579" s="14"/>
    </row>
    <row r="580" spans="1:8" x14ac:dyDescent="0.25">
      <c r="A580" s="288"/>
      <c r="B580" s="268"/>
      <c r="C580" s="24" t="s">
        <v>13</v>
      </c>
      <c r="D580" s="264"/>
      <c r="E580" s="151" t="s">
        <v>79</v>
      </c>
      <c r="F580" s="15">
        <v>1</v>
      </c>
      <c r="G580" s="16"/>
      <c r="H580" s="14"/>
    </row>
    <row r="581" spans="1:8" x14ac:dyDescent="0.25">
      <c r="A581" s="288"/>
      <c r="B581" s="268"/>
      <c r="C581" s="25" t="s">
        <v>6</v>
      </c>
      <c r="D581" s="248">
        <v>2</v>
      </c>
      <c r="E581" s="151" t="s">
        <v>65</v>
      </c>
      <c r="F581" s="15"/>
      <c r="G581" s="16"/>
      <c r="H581" s="14" t="s">
        <v>210</v>
      </c>
    </row>
    <row r="582" spans="1:8" x14ac:dyDescent="0.25">
      <c r="A582" s="288"/>
      <c r="B582" s="268"/>
      <c r="C582" s="24" t="s">
        <v>13</v>
      </c>
      <c r="D582" s="255">
        <v>4</v>
      </c>
      <c r="E582" s="151" t="s">
        <v>73</v>
      </c>
      <c r="F582" s="15">
        <v>8</v>
      </c>
      <c r="G582" s="16"/>
      <c r="H582" s="14"/>
    </row>
    <row r="583" spans="1:8" x14ac:dyDescent="0.25">
      <c r="A583" s="288"/>
      <c r="B583" s="268"/>
      <c r="C583" s="24" t="s">
        <v>13</v>
      </c>
      <c r="D583" s="255"/>
      <c r="E583" s="151" t="s">
        <v>65</v>
      </c>
      <c r="F583" s="15">
        <v>6</v>
      </c>
      <c r="G583" s="16"/>
      <c r="H583" s="14" t="s">
        <v>103</v>
      </c>
    </row>
    <row r="584" spans="1:8" x14ac:dyDescent="0.25">
      <c r="A584" s="288"/>
      <c r="B584" s="268"/>
      <c r="C584" s="24" t="s">
        <v>13</v>
      </c>
      <c r="D584" s="255"/>
      <c r="E584" s="151" t="s">
        <v>65</v>
      </c>
      <c r="F584" s="15">
        <v>3</v>
      </c>
      <c r="G584" s="16"/>
      <c r="H584" s="14" t="s">
        <v>72</v>
      </c>
    </row>
    <row r="585" spans="1:8" x14ac:dyDescent="0.25">
      <c r="A585" s="288"/>
      <c r="B585" s="268"/>
      <c r="C585" s="24" t="s">
        <v>13</v>
      </c>
      <c r="D585" s="248">
        <v>2</v>
      </c>
      <c r="E585" s="151" t="s">
        <v>65</v>
      </c>
      <c r="F585" s="15"/>
      <c r="G585" s="16"/>
      <c r="H585" s="14" t="s">
        <v>66</v>
      </c>
    </row>
    <row r="586" spans="1:8" ht="31.5" x14ac:dyDescent="0.25">
      <c r="A586" s="289"/>
      <c r="B586" s="269"/>
      <c r="C586" s="24" t="s">
        <v>13</v>
      </c>
      <c r="D586" s="248">
        <v>2</v>
      </c>
      <c r="E586" s="151" t="s">
        <v>65</v>
      </c>
      <c r="F586" s="15"/>
      <c r="G586" s="16"/>
      <c r="H586" s="14" t="s">
        <v>76</v>
      </c>
    </row>
    <row r="587" spans="1:8" x14ac:dyDescent="0.25">
      <c r="A587" s="287">
        <v>46133</v>
      </c>
      <c r="B587" s="261" t="s">
        <v>36</v>
      </c>
      <c r="C587" s="24" t="s">
        <v>13</v>
      </c>
      <c r="D587" s="265">
        <v>4</v>
      </c>
      <c r="E587" s="98" t="s">
        <v>80</v>
      </c>
      <c r="F587" s="15">
        <v>11</v>
      </c>
      <c r="G587" s="335" t="s">
        <v>167</v>
      </c>
      <c r="H587" s="4"/>
    </row>
    <row r="588" spans="1:8" x14ac:dyDescent="0.25">
      <c r="A588" s="288"/>
      <c r="B588" s="268"/>
      <c r="C588" s="24" t="s">
        <v>13</v>
      </c>
      <c r="D588" s="263"/>
      <c r="E588" s="98" t="s">
        <v>35</v>
      </c>
      <c r="F588" s="15">
        <v>11</v>
      </c>
      <c r="G588" s="337"/>
      <c r="H588" s="4" t="s">
        <v>106</v>
      </c>
    </row>
    <row r="589" spans="1:8" x14ac:dyDescent="0.25">
      <c r="A589" s="288"/>
      <c r="B589" s="268"/>
      <c r="C589" s="24" t="s">
        <v>13</v>
      </c>
      <c r="D589" s="264"/>
      <c r="E589" s="98" t="s">
        <v>93</v>
      </c>
      <c r="F589" s="15">
        <v>4</v>
      </c>
      <c r="G589" s="336"/>
      <c r="H589" s="4"/>
    </row>
    <row r="590" spans="1:8" x14ac:dyDescent="0.25">
      <c r="A590" s="288"/>
      <c r="B590" s="268"/>
      <c r="C590" s="24" t="s">
        <v>13</v>
      </c>
      <c r="D590" s="265">
        <v>4</v>
      </c>
      <c r="E590" s="98" t="s">
        <v>86</v>
      </c>
      <c r="F590" s="15">
        <v>18</v>
      </c>
      <c r="G590" s="335" t="s">
        <v>165</v>
      </c>
      <c r="H590" s="4"/>
    </row>
    <row r="591" spans="1:8" x14ac:dyDescent="0.25">
      <c r="A591" s="288"/>
      <c r="B591" s="268"/>
      <c r="C591" s="24" t="s">
        <v>13</v>
      </c>
      <c r="D591" s="263"/>
      <c r="E591" s="98" t="s">
        <v>78</v>
      </c>
      <c r="F591" s="15">
        <v>18</v>
      </c>
      <c r="G591" s="337"/>
      <c r="H591" s="4"/>
    </row>
    <row r="592" spans="1:8" x14ac:dyDescent="0.25">
      <c r="A592" s="288"/>
      <c r="B592" s="268"/>
      <c r="C592" s="24" t="s">
        <v>13</v>
      </c>
      <c r="D592" s="264"/>
      <c r="E592" s="96" t="s">
        <v>206</v>
      </c>
      <c r="F592" s="15">
        <v>10</v>
      </c>
      <c r="G592" s="336"/>
      <c r="H592" s="4"/>
    </row>
    <row r="593" spans="1:8" x14ac:dyDescent="0.25">
      <c r="A593" s="288"/>
      <c r="B593" s="268"/>
      <c r="C593" s="24" t="s">
        <v>13</v>
      </c>
      <c r="D593" s="265">
        <v>4</v>
      </c>
      <c r="E593" s="98" t="s">
        <v>26</v>
      </c>
      <c r="F593" s="15">
        <v>25</v>
      </c>
      <c r="G593" s="335" t="s">
        <v>195</v>
      </c>
      <c r="H593" s="4"/>
    </row>
    <row r="594" spans="1:8" x14ac:dyDescent="0.25">
      <c r="A594" s="288"/>
      <c r="B594" s="268"/>
      <c r="C594" s="24" t="s">
        <v>13</v>
      </c>
      <c r="D594" s="263"/>
      <c r="E594" s="155" t="s">
        <v>200</v>
      </c>
      <c r="F594" s="15">
        <v>25</v>
      </c>
      <c r="G594" s="337"/>
      <c r="H594" s="4"/>
    </row>
    <row r="595" spans="1:8" x14ac:dyDescent="0.25">
      <c r="A595" s="288"/>
      <c r="B595" s="268"/>
      <c r="C595" s="24" t="s">
        <v>13</v>
      </c>
      <c r="D595" s="263"/>
      <c r="E595" s="98" t="s">
        <v>79</v>
      </c>
      <c r="F595" s="15">
        <v>3</v>
      </c>
      <c r="G595" s="337"/>
      <c r="H595" s="4"/>
    </row>
    <row r="596" spans="1:8" x14ac:dyDescent="0.25">
      <c r="A596" s="288"/>
      <c r="B596" s="268"/>
      <c r="C596" s="24" t="s">
        <v>13</v>
      </c>
      <c r="D596" s="264"/>
      <c r="E596" s="98" t="s">
        <v>93</v>
      </c>
      <c r="F596" s="15">
        <v>1</v>
      </c>
      <c r="G596" s="336"/>
      <c r="H596" s="4"/>
    </row>
    <row r="597" spans="1:8" x14ac:dyDescent="0.25">
      <c r="A597" s="288"/>
      <c r="B597" s="268"/>
      <c r="C597" s="24" t="s">
        <v>13</v>
      </c>
      <c r="D597" s="265">
        <v>5</v>
      </c>
      <c r="E597" s="158" t="s">
        <v>115</v>
      </c>
      <c r="F597" s="15">
        <v>3</v>
      </c>
      <c r="G597" s="335" t="s">
        <v>75</v>
      </c>
      <c r="H597" s="4"/>
    </row>
    <row r="598" spans="1:8" x14ac:dyDescent="0.25">
      <c r="A598" s="288"/>
      <c r="B598" s="268"/>
      <c r="C598" s="24" t="s">
        <v>13</v>
      </c>
      <c r="D598" s="264"/>
      <c r="E598" s="98" t="s">
        <v>151</v>
      </c>
      <c r="F598" s="15">
        <v>29</v>
      </c>
      <c r="G598" s="336"/>
      <c r="H598" s="4"/>
    </row>
    <row r="599" spans="1:8" x14ac:dyDescent="0.25">
      <c r="A599" s="289"/>
      <c r="B599" s="269"/>
      <c r="C599" s="24" t="s">
        <v>13</v>
      </c>
      <c r="D599" s="248">
        <v>2</v>
      </c>
      <c r="E599" s="98" t="s">
        <v>107</v>
      </c>
      <c r="F599" s="15">
        <v>40</v>
      </c>
      <c r="G599" s="16" t="s">
        <v>188</v>
      </c>
      <c r="H599" s="4"/>
    </row>
    <row r="600" spans="1:8" x14ac:dyDescent="0.25">
      <c r="A600" s="287">
        <v>46133</v>
      </c>
      <c r="B600" s="261" t="s">
        <v>5</v>
      </c>
      <c r="C600" s="24" t="s">
        <v>6</v>
      </c>
      <c r="D600" s="265">
        <v>3</v>
      </c>
      <c r="E600" s="98" t="s">
        <v>108</v>
      </c>
      <c r="F600" s="15">
        <v>4</v>
      </c>
      <c r="G600" s="16">
        <v>116</v>
      </c>
      <c r="H600" s="4"/>
    </row>
    <row r="601" spans="1:8" x14ac:dyDescent="0.25">
      <c r="A601" s="288"/>
      <c r="B601" s="268"/>
      <c r="C601" s="24" t="s">
        <v>6</v>
      </c>
      <c r="D601" s="263"/>
      <c r="E601" s="98" t="s">
        <v>107</v>
      </c>
      <c r="F601" s="15">
        <v>2</v>
      </c>
      <c r="G601" s="16"/>
      <c r="H601" s="4"/>
    </row>
    <row r="602" spans="1:8" x14ac:dyDescent="0.25">
      <c r="A602" s="288"/>
      <c r="B602" s="268"/>
      <c r="C602" s="24" t="s">
        <v>6</v>
      </c>
      <c r="D602" s="264"/>
      <c r="E602" s="98" t="s">
        <v>99</v>
      </c>
      <c r="F602" s="15"/>
      <c r="G602" s="16"/>
      <c r="H602" s="4"/>
    </row>
    <row r="603" spans="1:8" x14ac:dyDescent="0.25">
      <c r="A603" s="288"/>
      <c r="B603" s="268"/>
      <c r="C603" s="24" t="s">
        <v>13</v>
      </c>
      <c r="D603" s="265">
        <v>5</v>
      </c>
      <c r="E603" s="98" t="s">
        <v>79</v>
      </c>
      <c r="F603" s="15">
        <v>10</v>
      </c>
      <c r="G603" s="16">
        <v>111</v>
      </c>
      <c r="H603" s="4"/>
    </row>
    <row r="604" spans="1:8" x14ac:dyDescent="0.25">
      <c r="A604" s="288"/>
      <c r="B604" s="268"/>
      <c r="C604" s="24" t="s">
        <v>13</v>
      </c>
      <c r="D604" s="263"/>
      <c r="E604" s="98" t="s">
        <v>35</v>
      </c>
      <c r="F604" s="15">
        <v>9</v>
      </c>
      <c r="G604" s="16"/>
      <c r="H604" s="4"/>
    </row>
    <row r="605" spans="1:8" x14ac:dyDescent="0.25">
      <c r="A605" s="288"/>
      <c r="B605" s="268"/>
      <c r="C605" s="24" t="s">
        <v>13</v>
      </c>
      <c r="D605" s="264"/>
      <c r="E605" s="98" t="s">
        <v>93</v>
      </c>
      <c r="F605" s="15">
        <v>5</v>
      </c>
      <c r="G605" s="16"/>
      <c r="H605" s="4"/>
    </row>
    <row r="606" spans="1:8" ht="47.25" x14ac:dyDescent="0.25">
      <c r="A606" s="288"/>
      <c r="B606" s="268"/>
      <c r="C606" s="25" t="s">
        <v>6</v>
      </c>
      <c r="D606" s="248">
        <v>4</v>
      </c>
      <c r="E606" s="143" t="s">
        <v>283</v>
      </c>
      <c r="F606" s="15">
        <v>70</v>
      </c>
      <c r="G606" s="16">
        <v>104</v>
      </c>
      <c r="H606" s="14" t="s">
        <v>101</v>
      </c>
    </row>
    <row r="607" spans="1:8" x14ac:dyDescent="0.25">
      <c r="A607" s="288"/>
      <c r="B607" s="268"/>
      <c r="C607" s="24" t="s">
        <v>6</v>
      </c>
      <c r="D607" s="265">
        <v>4</v>
      </c>
      <c r="E607" s="98" t="s">
        <v>79</v>
      </c>
      <c r="F607" s="15">
        <v>12</v>
      </c>
      <c r="G607" s="335" t="s">
        <v>195</v>
      </c>
      <c r="H607" s="4"/>
    </row>
    <row r="608" spans="1:8" x14ac:dyDescent="0.25">
      <c r="A608" s="288"/>
      <c r="B608" s="268"/>
      <c r="C608" s="24" t="s">
        <v>6</v>
      </c>
      <c r="D608" s="263"/>
      <c r="E608" s="155" t="s">
        <v>200</v>
      </c>
      <c r="F608" s="15">
        <v>15</v>
      </c>
      <c r="G608" s="337"/>
      <c r="H608" s="4"/>
    </row>
    <row r="609" spans="1:8" x14ac:dyDescent="0.25">
      <c r="A609" s="288"/>
      <c r="B609" s="268"/>
      <c r="C609" s="24" t="s">
        <v>6</v>
      </c>
      <c r="D609" s="264"/>
      <c r="E609" s="98" t="s">
        <v>26</v>
      </c>
      <c r="F609" s="15">
        <v>15</v>
      </c>
      <c r="G609" s="337"/>
      <c r="H609" s="4"/>
    </row>
    <row r="610" spans="1:8" x14ac:dyDescent="0.25">
      <c r="A610" s="288"/>
      <c r="B610" s="268"/>
      <c r="C610" s="25" t="s">
        <v>6</v>
      </c>
      <c r="D610" s="248">
        <v>6</v>
      </c>
      <c r="E610" s="98" t="s">
        <v>97</v>
      </c>
      <c r="F610" s="15">
        <v>15</v>
      </c>
      <c r="G610" s="336"/>
      <c r="H610" s="4"/>
    </row>
    <row r="611" spans="1:8" x14ac:dyDescent="0.25">
      <c r="A611" s="288"/>
      <c r="B611" s="268"/>
      <c r="C611" s="24" t="s">
        <v>6</v>
      </c>
      <c r="D611" s="265">
        <v>2</v>
      </c>
      <c r="E611" s="143" t="s">
        <v>271</v>
      </c>
      <c r="F611" s="15">
        <v>20</v>
      </c>
      <c r="G611" s="335">
        <v>112</v>
      </c>
      <c r="H611" s="4"/>
    </row>
    <row r="612" spans="1:8" x14ac:dyDescent="0.25">
      <c r="A612" s="288"/>
      <c r="B612" s="268"/>
      <c r="C612" s="24" t="s">
        <v>6</v>
      </c>
      <c r="D612" s="264"/>
      <c r="E612" s="98" t="s">
        <v>26</v>
      </c>
      <c r="F612" s="15">
        <v>8</v>
      </c>
      <c r="G612" s="336"/>
      <c r="H612" s="4"/>
    </row>
    <row r="613" spans="1:8" x14ac:dyDescent="0.25">
      <c r="A613" s="288"/>
      <c r="B613" s="268"/>
      <c r="C613" s="24" t="s">
        <v>6</v>
      </c>
      <c r="D613" s="265">
        <v>4</v>
      </c>
      <c r="E613" s="98" t="s">
        <v>450</v>
      </c>
      <c r="F613" s="15">
        <v>50</v>
      </c>
      <c r="G613" s="333" t="s">
        <v>40</v>
      </c>
      <c r="H613" s="4"/>
    </row>
    <row r="614" spans="1:8" x14ac:dyDescent="0.25">
      <c r="A614" s="288"/>
      <c r="B614" s="268"/>
      <c r="C614" s="24" t="s">
        <v>6</v>
      </c>
      <c r="D614" s="264"/>
      <c r="E614" s="98" t="s">
        <v>26</v>
      </c>
      <c r="F614" s="15">
        <v>50</v>
      </c>
      <c r="G614" s="334"/>
      <c r="H614" s="4"/>
    </row>
    <row r="615" spans="1:8" x14ac:dyDescent="0.25">
      <c r="A615" s="288"/>
      <c r="B615" s="268"/>
      <c r="C615" s="24" t="s">
        <v>6</v>
      </c>
      <c r="D615" s="265">
        <v>2</v>
      </c>
      <c r="E615" s="96" t="s">
        <v>21</v>
      </c>
      <c r="F615" s="15"/>
      <c r="G615" s="16"/>
      <c r="H615" s="4"/>
    </row>
    <row r="616" spans="1:8" x14ac:dyDescent="0.25">
      <c r="A616" s="288"/>
      <c r="B616" s="268"/>
      <c r="C616" s="24" t="s">
        <v>6</v>
      </c>
      <c r="D616" s="264"/>
      <c r="E616" s="98" t="s">
        <v>51</v>
      </c>
      <c r="F616" s="15"/>
      <c r="G616" s="16"/>
      <c r="H616" s="4"/>
    </row>
    <row r="617" spans="1:8" x14ac:dyDescent="0.25">
      <c r="A617" s="288"/>
      <c r="B617" s="268"/>
      <c r="C617" s="24" t="s">
        <v>6</v>
      </c>
      <c r="D617" s="248">
        <v>2</v>
      </c>
      <c r="E617" s="96" t="s">
        <v>356</v>
      </c>
      <c r="F617" s="15"/>
      <c r="G617" s="16"/>
      <c r="H617" s="4"/>
    </row>
    <row r="618" spans="1:8" x14ac:dyDescent="0.25">
      <c r="A618" s="289"/>
      <c r="B618" s="269"/>
      <c r="C618" s="24" t="s">
        <v>6</v>
      </c>
      <c r="D618" s="248">
        <v>2</v>
      </c>
      <c r="E618" s="98" t="s">
        <v>229</v>
      </c>
      <c r="F618" s="15"/>
      <c r="G618" s="16"/>
      <c r="H618" s="4"/>
    </row>
    <row r="619" spans="1:8" x14ac:dyDescent="0.25">
      <c r="A619" s="287">
        <v>46134</v>
      </c>
      <c r="B619" s="261" t="s">
        <v>36</v>
      </c>
      <c r="C619" s="25" t="s">
        <v>6</v>
      </c>
      <c r="D619" s="248">
        <v>3</v>
      </c>
      <c r="E619" s="143" t="s">
        <v>283</v>
      </c>
      <c r="F619" s="15">
        <v>68</v>
      </c>
      <c r="G619" s="16">
        <v>103</v>
      </c>
      <c r="H619" s="4"/>
    </row>
    <row r="620" spans="1:8" x14ac:dyDescent="0.25">
      <c r="A620" s="288"/>
      <c r="B620" s="268"/>
      <c r="C620" s="24" t="s">
        <v>13</v>
      </c>
      <c r="D620" s="248">
        <v>4</v>
      </c>
      <c r="E620" s="98" t="s">
        <v>79</v>
      </c>
      <c r="F620" s="15">
        <f>1+2+2+2+1+1+2+2+2+1</f>
        <v>16</v>
      </c>
      <c r="G620" s="16" t="s">
        <v>30</v>
      </c>
      <c r="H620" s="4"/>
    </row>
    <row r="621" spans="1:8" x14ac:dyDescent="0.25">
      <c r="A621" s="288"/>
      <c r="B621" s="268"/>
      <c r="C621" s="24" t="s">
        <v>13</v>
      </c>
      <c r="D621" s="263">
        <v>3</v>
      </c>
      <c r="E621" s="143" t="s">
        <v>283</v>
      </c>
      <c r="F621" s="15">
        <v>14</v>
      </c>
      <c r="G621" s="16"/>
      <c r="H621" s="4"/>
    </row>
    <row r="622" spans="1:8" x14ac:dyDescent="0.25">
      <c r="A622" s="288"/>
      <c r="B622" s="268"/>
      <c r="C622" s="24" t="s">
        <v>13</v>
      </c>
      <c r="D622" s="264"/>
      <c r="E622" s="98" t="s">
        <v>79</v>
      </c>
      <c r="F622" s="15">
        <v>7</v>
      </c>
      <c r="G622" s="16"/>
      <c r="H622" s="4"/>
    </row>
    <row r="623" spans="1:8" x14ac:dyDescent="0.25">
      <c r="A623" s="288"/>
      <c r="B623" s="268"/>
      <c r="C623" s="24" t="s">
        <v>13</v>
      </c>
      <c r="D623" s="265">
        <v>3</v>
      </c>
      <c r="E623" s="98" t="s">
        <v>86</v>
      </c>
      <c r="F623" s="15">
        <v>3</v>
      </c>
      <c r="G623" s="16"/>
      <c r="H623" s="4"/>
    </row>
    <row r="624" spans="1:8" x14ac:dyDescent="0.25">
      <c r="A624" s="288"/>
      <c r="B624" s="268"/>
      <c r="C624" s="24" t="s">
        <v>13</v>
      </c>
      <c r="D624" s="263"/>
      <c r="E624" s="98" t="s">
        <v>14</v>
      </c>
      <c r="F624" s="15">
        <v>9</v>
      </c>
      <c r="G624" s="16"/>
      <c r="H624" s="4"/>
    </row>
    <row r="625" spans="1:8" x14ac:dyDescent="0.25">
      <c r="A625" s="288"/>
      <c r="B625" s="268"/>
      <c r="C625" s="24" t="s">
        <v>13</v>
      </c>
      <c r="D625" s="264"/>
      <c r="E625" s="98" t="s">
        <v>308</v>
      </c>
      <c r="F625" s="15">
        <v>3</v>
      </c>
      <c r="G625" s="16"/>
      <c r="H625" s="4"/>
    </row>
    <row r="626" spans="1:8" ht="31.5" x14ac:dyDescent="0.25">
      <c r="A626" s="288"/>
      <c r="B626" s="268"/>
      <c r="C626" s="25" t="s">
        <v>13</v>
      </c>
      <c r="D626" s="248">
        <v>4</v>
      </c>
      <c r="E626" s="98" t="s">
        <v>110</v>
      </c>
      <c r="F626" s="15">
        <v>6</v>
      </c>
      <c r="G626" s="16" t="s">
        <v>168</v>
      </c>
      <c r="H626" s="4" t="s">
        <v>111</v>
      </c>
    </row>
    <row r="627" spans="1:8" x14ac:dyDescent="0.25">
      <c r="A627" s="288"/>
      <c r="B627" s="268"/>
      <c r="C627" s="24" t="s">
        <v>13</v>
      </c>
      <c r="D627" s="265">
        <v>4</v>
      </c>
      <c r="E627" s="98" t="s">
        <v>80</v>
      </c>
      <c r="F627" s="15">
        <v>9</v>
      </c>
      <c r="G627" s="16"/>
      <c r="H627" s="4"/>
    </row>
    <row r="628" spans="1:8" x14ac:dyDescent="0.25">
      <c r="A628" s="288"/>
      <c r="B628" s="268"/>
      <c r="C628" s="24" t="s">
        <v>13</v>
      </c>
      <c r="D628" s="263"/>
      <c r="E628" s="98" t="s">
        <v>93</v>
      </c>
      <c r="F628" s="15">
        <v>4</v>
      </c>
      <c r="G628" s="16"/>
      <c r="H628" s="4"/>
    </row>
    <row r="629" spans="1:8" x14ac:dyDescent="0.25">
      <c r="A629" s="289"/>
      <c r="B629" s="269"/>
      <c r="C629" s="24" t="s">
        <v>13</v>
      </c>
      <c r="D629" s="264"/>
      <c r="E629" s="98" t="s">
        <v>35</v>
      </c>
      <c r="F629" s="15">
        <v>9</v>
      </c>
      <c r="G629" s="16"/>
      <c r="H629" s="4"/>
    </row>
    <row r="630" spans="1:8" x14ac:dyDescent="0.25">
      <c r="A630" s="287">
        <v>46134</v>
      </c>
      <c r="B630" s="261" t="s">
        <v>5</v>
      </c>
      <c r="C630" s="24" t="s">
        <v>6</v>
      </c>
      <c r="D630" s="265">
        <v>3</v>
      </c>
      <c r="E630" s="98" t="s">
        <v>108</v>
      </c>
      <c r="F630" s="15">
        <v>6</v>
      </c>
      <c r="G630" s="315">
        <v>116</v>
      </c>
      <c r="H630" s="4"/>
    </row>
    <row r="631" spans="1:8" x14ac:dyDescent="0.25">
      <c r="A631" s="288"/>
      <c r="B631" s="268"/>
      <c r="C631" s="24" t="s">
        <v>6</v>
      </c>
      <c r="D631" s="263"/>
      <c r="E631" s="98" t="s">
        <v>58</v>
      </c>
      <c r="F631" s="15">
        <v>9</v>
      </c>
      <c r="G631" s="316"/>
      <c r="H631" s="4"/>
    </row>
    <row r="632" spans="1:8" x14ac:dyDescent="0.25">
      <c r="A632" s="288"/>
      <c r="B632" s="268"/>
      <c r="C632" s="24" t="s">
        <v>6</v>
      </c>
      <c r="D632" s="264"/>
      <c r="E632" s="98" t="s">
        <v>112</v>
      </c>
      <c r="F632" s="15">
        <v>6</v>
      </c>
      <c r="G632" s="317"/>
      <c r="H632" s="4"/>
    </row>
    <row r="633" spans="1:8" x14ac:dyDescent="0.25">
      <c r="A633" s="288"/>
      <c r="B633" s="268"/>
      <c r="C633" s="25" t="s">
        <v>6</v>
      </c>
      <c r="D633" s="248">
        <v>2</v>
      </c>
      <c r="E633" s="158" t="s">
        <v>115</v>
      </c>
      <c r="F633" s="15">
        <v>3</v>
      </c>
      <c r="G633" s="16" t="s">
        <v>75</v>
      </c>
      <c r="H633" s="4" t="s">
        <v>113</v>
      </c>
    </row>
    <row r="634" spans="1:8" ht="47.25" x14ac:dyDescent="0.25">
      <c r="A634" s="288"/>
      <c r="B634" s="268"/>
      <c r="C634" s="25" t="s">
        <v>6</v>
      </c>
      <c r="D634" s="248">
        <v>4</v>
      </c>
      <c r="E634" s="143" t="s">
        <v>283</v>
      </c>
      <c r="F634" s="15">
        <v>70</v>
      </c>
      <c r="G634" s="16" t="s">
        <v>158</v>
      </c>
      <c r="H634" s="14" t="s">
        <v>101</v>
      </c>
    </row>
    <row r="635" spans="1:8" x14ac:dyDescent="0.25">
      <c r="A635" s="288"/>
      <c r="B635" s="268"/>
      <c r="C635" s="24" t="s">
        <v>6</v>
      </c>
      <c r="D635" s="265">
        <v>8</v>
      </c>
      <c r="E635" s="98" t="s">
        <v>26</v>
      </c>
      <c r="F635" s="15">
        <v>200</v>
      </c>
      <c r="G635" s="315" t="s">
        <v>195</v>
      </c>
      <c r="H635" s="4"/>
    </row>
    <row r="636" spans="1:8" x14ac:dyDescent="0.25">
      <c r="A636" s="288"/>
      <c r="B636" s="268"/>
      <c r="C636" s="24" t="s">
        <v>6</v>
      </c>
      <c r="D636" s="263"/>
      <c r="E636" s="98" t="s">
        <v>325</v>
      </c>
      <c r="F636" s="15">
        <v>100</v>
      </c>
      <c r="G636" s="316"/>
      <c r="H636" s="4"/>
    </row>
    <row r="637" spans="1:8" x14ac:dyDescent="0.25">
      <c r="A637" s="288"/>
      <c r="B637" s="268"/>
      <c r="C637" s="24" t="s">
        <v>6</v>
      </c>
      <c r="D637" s="264"/>
      <c r="E637" s="98" t="s">
        <v>450</v>
      </c>
      <c r="F637" s="15">
        <v>100</v>
      </c>
      <c r="G637" s="317"/>
      <c r="H637" s="4"/>
    </row>
    <row r="638" spans="1:8" x14ac:dyDescent="0.25">
      <c r="A638" s="288"/>
      <c r="B638" s="268"/>
      <c r="C638" s="24" t="s">
        <v>13</v>
      </c>
      <c r="D638" s="265">
        <v>4</v>
      </c>
      <c r="E638" s="98" t="s">
        <v>35</v>
      </c>
      <c r="F638" s="15">
        <v>9</v>
      </c>
      <c r="G638" s="16" t="s">
        <v>163</v>
      </c>
      <c r="H638" s="4"/>
    </row>
    <row r="639" spans="1:8" x14ac:dyDescent="0.25">
      <c r="A639" s="288"/>
      <c r="B639" s="268"/>
      <c r="C639" s="24" t="s">
        <v>13</v>
      </c>
      <c r="D639" s="263"/>
      <c r="E639" s="98" t="s">
        <v>93</v>
      </c>
      <c r="F639" s="15">
        <v>3</v>
      </c>
      <c r="G639" s="16"/>
      <c r="H639" s="4"/>
    </row>
    <row r="640" spans="1:8" x14ac:dyDescent="0.25">
      <c r="A640" s="288"/>
      <c r="B640" s="268"/>
      <c r="C640" s="24" t="s">
        <v>13</v>
      </c>
      <c r="D640" s="264"/>
      <c r="E640" s="98" t="s">
        <v>35</v>
      </c>
      <c r="F640" s="15">
        <v>9</v>
      </c>
      <c r="G640" s="16">
        <v>116</v>
      </c>
      <c r="H640" s="4"/>
    </row>
    <row r="641" spans="1:8" x14ac:dyDescent="0.25">
      <c r="A641" s="288"/>
      <c r="B641" s="268"/>
      <c r="C641" s="25" t="s">
        <v>13</v>
      </c>
      <c r="D641" s="248">
        <v>4</v>
      </c>
      <c r="E641" s="158" t="s">
        <v>115</v>
      </c>
      <c r="F641" s="15">
        <v>5</v>
      </c>
      <c r="G641" s="16" t="s">
        <v>75</v>
      </c>
      <c r="H641" s="4" t="s">
        <v>113</v>
      </c>
    </row>
    <row r="642" spans="1:8" x14ac:dyDescent="0.25">
      <c r="A642" s="288"/>
      <c r="B642" s="268"/>
      <c r="C642" s="24" t="s">
        <v>13</v>
      </c>
      <c r="D642" s="248">
        <v>2</v>
      </c>
      <c r="E642" s="98" t="s">
        <v>97</v>
      </c>
      <c r="F642" s="15">
        <v>7</v>
      </c>
      <c r="G642" s="16" t="s">
        <v>167</v>
      </c>
      <c r="H642" s="4"/>
    </row>
    <row r="643" spans="1:8" x14ac:dyDescent="0.25">
      <c r="A643" s="288"/>
      <c r="B643" s="268"/>
      <c r="C643" s="24" t="s">
        <v>13</v>
      </c>
      <c r="D643" s="248">
        <v>2</v>
      </c>
      <c r="E643" s="98" t="s">
        <v>51</v>
      </c>
      <c r="F643" s="15"/>
      <c r="G643" s="16"/>
      <c r="H643" s="4"/>
    </row>
    <row r="644" spans="1:8" x14ac:dyDescent="0.25">
      <c r="A644" s="288"/>
      <c r="B644" s="268"/>
      <c r="C644" s="24" t="s">
        <v>13</v>
      </c>
      <c r="D644" s="248">
        <v>2</v>
      </c>
      <c r="E644" s="96" t="s">
        <v>356</v>
      </c>
      <c r="F644" s="15"/>
      <c r="G644" s="16"/>
      <c r="H644" s="4"/>
    </row>
    <row r="645" spans="1:8" x14ac:dyDescent="0.25">
      <c r="A645" s="289"/>
      <c r="B645" s="269"/>
      <c r="C645" s="24" t="s">
        <v>13</v>
      </c>
      <c r="D645" s="248">
        <v>2</v>
      </c>
      <c r="E645" s="98" t="s">
        <v>229</v>
      </c>
      <c r="F645" s="15"/>
      <c r="G645" s="16"/>
      <c r="H645" s="4"/>
    </row>
    <row r="646" spans="1:8" x14ac:dyDescent="0.25">
      <c r="A646" s="322">
        <v>46135</v>
      </c>
      <c r="B646" s="321" t="s">
        <v>36</v>
      </c>
      <c r="C646" s="30" t="s">
        <v>6</v>
      </c>
      <c r="D646" s="328">
        <v>6</v>
      </c>
      <c r="E646" s="158" t="s">
        <v>115</v>
      </c>
      <c r="F646" s="5">
        <v>1</v>
      </c>
      <c r="G646" s="318" t="s">
        <v>169</v>
      </c>
      <c r="H646" s="4"/>
    </row>
    <row r="647" spans="1:8" x14ac:dyDescent="0.25">
      <c r="A647" s="323"/>
      <c r="B647" s="297"/>
      <c r="C647" s="30" t="s">
        <v>6</v>
      </c>
      <c r="D647" s="329"/>
      <c r="E647" s="98" t="s">
        <v>151</v>
      </c>
      <c r="F647" s="5">
        <v>35</v>
      </c>
      <c r="G647" s="320"/>
      <c r="H647" s="4" t="s">
        <v>114</v>
      </c>
    </row>
    <row r="648" spans="1:8" x14ac:dyDescent="0.25">
      <c r="A648" s="323"/>
      <c r="B648" s="297"/>
      <c r="C648" s="31" t="s">
        <v>6</v>
      </c>
      <c r="D648" s="249">
        <v>3</v>
      </c>
      <c r="E648" s="143" t="s">
        <v>283</v>
      </c>
      <c r="F648" s="5">
        <v>70</v>
      </c>
      <c r="G648" s="16">
        <v>107</v>
      </c>
      <c r="H648" s="14"/>
    </row>
    <row r="649" spans="1:8" x14ac:dyDescent="0.25">
      <c r="A649" s="323"/>
      <c r="B649" s="297"/>
      <c r="C649" s="30" t="s">
        <v>13</v>
      </c>
      <c r="D649" s="328">
        <v>10</v>
      </c>
      <c r="E649" s="158" t="s">
        <v>115</v>
      </c>
      <c r="F649" s="32">
        <v>3</v>
      </c>
      <c r="G649" s="318" t="s">
        <v>170</v>
      </c>
      <c r="H649" s="33"/>
    </row>
    <row r="650" spans="1:8" x14ac:dyDescent="0.25">
      <c r="A650" s="324"/>
      <c r="B650" s="298"/>
      <c r="C650" s="30" t="s">
        <v>13</v>
      </c>
      <c r="D650" s="329"/>
      <c r="E650" s="98" t="s">
        <v>151</v>
      </c>
      <c r="F650" s="34">
        <v>35</v>
      </c>
      <c r="G650" s="320"/>
      <c r="H650" s="33" t="s">
        <v>116</v>
      </c>
    </row>
    <row r="651" spans="1:8" ht="47.25" x14ac:dyDescent="0.25">
      <c r="A651" s="287">
        <v>45770</v>
      </c>
      <c r="B651" s="261" t="s">
        <v>5</v>
      </c>
      <c r="C651" s="25" t="s">
        <v>6</v>
      </c>
      <c r="D651" s="248">
        <v>3</v>
      </c>
      <c r="E651" s="143" t="s">
        <v>283</v>
      </c>
      <c r="F651" s="15">
        <v>35</v>
      </c>
      <c r="G651" s="16">
        <v>110</v>
      </c>
      <c r="H651" s="14" t="s">
        <v>101</v>
      </c>
    </row>
    <row r="652" spans="1:8" x14ac:dyDescent="0.25">
      <c r="A652" s="288"/>
      <c r="B652" s="268"/>
      <c r="C652" s="24" t="s">
        <v>6</v>
      </c>
      <c r="D652" s="248">
        <v>8</v>
      </c>
      <c r="E652" s="98" t="s">
        <v>26</v>
      </c>
      <c r="F652" s="15">
        <v>160</v>
      </c>
      <c r="G652" s="16"/>
      <c r="H652" s="4"/>
    </row>
    <row r="653" spans="1:8" x14ac:dyDescent="0.25">
      <c r="A653" s="288"/>
      <c r="B653" s="268"/>
      <c r="C653" s="24" t="s">
        <v>6</v>
      </c>
      <c r="D653" s="265"/>
      <c r="E653" s="98" t="s">
        <v>325</v>
      </c>
      <c r="F653" s="15">
        <v>100</v>
      </c>
      <c r="G653" s="16"/>
      <c r="H653" s="4"/>
    </row>
    <row r="654" spans="1:8" x14ac:dyDescent="0.25">
      <c r="A654" s="288"/>
      <c r="B654" s="268"/>
      <c r="C654" s="24" t="s">
        <v>6</v>
      </c>
      <c r="D654" s="264"/>
      <c r="E654" s="98" t="s">
        <v>450</v>
      </c>
      <c r="F654" s="15">
        <v>100</v>
      </c>
      <c r="G654" s="16"/>
      <c r="H654" s="4"/>
    </row>
    <row r="655" spans="1:8" x14ac:dyDescent="0.25">
      <c r="A655" s="288"/>
      <c r="B655" s="268"/>
      <c r="C655" s="24" t="s">
        <v>13</v>
      </c>
      <c r="D655" s="265">
        <v>4</v>
      </c>
      <c r="E655" s="98" t="s">
        <v>35</v>
      </c>
      <c r="F655" s="15">
        <v>21</v>
      </c>
      <c r="G655" s="16">
        <v>116</v>
      </c>
      <c r="H655" s="4"/>
    </row>
    <row r="656" spans="1:8" x14ac:dyDescent="0.25">
      <c r="A656" s="288"/>
      <c r="B656" s="268"/>
      <c r="C656" s="24" t="s">
        <v>13</v>
      </c>
      <c r="D656" s="264"/>
      <c r="E656" s="98" t="s">
        <v>93</v>
      </c>
      <c r="F656" s="15">
        <v>6</v>
      </c>
      <c r="G656" s="16"/>
      <c r="H656" s="4"/>
    </row>
    <row r="657" spans="1:8" x14ac:dyDescent="0.25">
      <c r="A657" s="288"/>
      <c r="B657" s="268"/>
      <c r="C657" s="24" t="s">
        <v>13</v>
      </c>
      <c r="D657" s="265">
        <v>4</v>
      </c>
      <c r="E657" s="158" t="s">
        <v>115</v>
      </c>
      <c r="F657" s="15">
        <v>2</v>
      </c>
      <c r="G657" s="16" t="s">
        <v>75</v>
      </c>
      <c r="H657" s="4"/>
    </row>
    <row r="658" spans="1:8" x14ac:dyDescent="0.25">
      <c r="A658" s="288"/>
      <c r="B658" s="268"/>
      <c r="C658" s="24" t="s">
        <v>13</v>
      </c>
      <c r="D658" s="264"/>
      <c r="E658" s="98" t="s">
        <v>151</v>
      </c>
      <c r="F658" s="15">
        <v>35</v>
      </c>
      <c r="G658" s="16"/>
      <c r="H658" s="4"/>
    </row>
    <row r="659" spans="1:8" x14ac:dyDescent="0.25">
      <c r="A659" s="288"/>
      <c r="B659" s="268"/>
      <c r="C659" s="25" t="s">
        <v>6</v>
      </c>
      <c r="D659" s="248">
        <v>3</v>
      </c>
      <c r="E659" s="98" t="s">
        <v>58</v>
      </c>
      <c r="F659" s="15">
        <v>12</v>
      </c>
      <c r="G659" s="16"/>
      <c r="H659" s="4" t="s">
        <v>100</v>
      </c>
    </row>
    <row r="660" spans="1:8" x14ac:dyDescent="0.25">
      <c r="A660" s="288"/>
      <c r="B660" s="268"/>
      <c r="C660" s="24" t="s">
        <v>13</v>
      </c>
      <c r="D660" s="248">
        <v>2</v>
      </c>
      <c r="E660" s="98" t="s">
        <v>97</v>
      </c>
      <c r="F660" s="15">
        <v>3</v>
      </c>
      <c r="G660" s="16" t="s">
        <v>159</v>
      </c>
      <c r="H660" s="4"/>
    </row>
    <row r="661" spans="1:8" x14ac:dyDescent="0.25">
      <c r="A661" s="288"/>
      <c r="B661" s="268"/>
      <c r="C661" s="24" t="s">
        <v>13</v>
      </c>
      <c r="D661" s="248">
        <v>2</v>
      </c>
      <c r="E661" s="98" t="s">
        <v>51</v>
      </c>
      <c r="F661" s="15"/>
      <c r="G661" s="16"/>
      <c r="H661" s="4"/>
    </row>
    <row r="662" spans="1:8" x14ac:dyDescent="0.25">
      <c r="A662" s="288"/>
      <c r="B662" s="268"/>
      <c r="C662" s="24" t="s">
        <v>6</v>
      </c>
      <c r="D662" s="248">
        <v>2</v>
      </c>
      <c r="E662" s="96" t="s">
        <v>21</v>
      </c>
      <c r="F662" s="15"/>
      <c r="G662" s="16"/>
      <c r="H662" s="4"/>
    </row>
    <row r="663" spans="1:8" x14ac:dyDescent="0.25">
      <c r="A663" s="289"/>
      <c r="B663" s="269"/>
      <c r="C663" s="24" t="s">
        <v>6</v>
      </c>
      <c r="D663" s="248">
        <v>2</v>
      </c>
      <c r="E663" s="98" t="s">
        <v>229</v>
      </c>
      <c r="F663" s="15"/>
      <c r="G663" s="16"/>
      <c r="H663" s="4"/>
    </row>
    <row r="664" spans="1:8" x14ac:dyDescent="0.25">
      <c r="A664" s="287">
        <v>45771</v>
      </c>
      <c r="B664" s="261" t="s">
        <v>36</v>
      </c>
      <c r="C664" s="24" t="s">
        <v>13</v>
      </c>
      <c r="D664" s="255">
        <v>4</v>
      </c>
      <c r="E664" s="143" t="s">
        <v>271</v>
      </c>
      <c r="F664" s="15">
        <v>35</v>
      </c>
      <c r="G664" s="16" t="s">
        <v>171</v>
      </c>
      <c r="H664" s="4" t="s">
        <v>121</v>
      </c>
    </row>
    <row r="665" spans="1:8" x14ac:dyDescent="0.25">
      <c r="A665" s="288"/>
      <c r="B665" s="268"/>
      <c r="C665" s="24" t="s">
        <v>13</v>
      </c>
      <c r="D665" s="255"/>
      <c r="E665" s="98" t="s">
        <v>97</v>
      </c>
      <c r="F665" s="15">
        <v>8</v>
      </c>
      <c r="G665" s="16"/>
      <c r="H665" s="4"/>
    </row>
    <row r="666" spans="1:8" x14ac:dyDescent="0.25">
      <c r="A666" s="288"/>
      <c r="B666" s="268"/>
      <c r="C666" s="24" t="s">
        <v>13</v>
      </c>
      <c r="D666" s="255"/>
      <c r="E666" s="98" t="s">
        <v>94</v>
      </c>
      <c r="F666" s="15">
        <v>10</v>
      </c>
      <c r="G666" s="16"/>
      <c r="H666" s="4"/>
    </row>
    <row r="667" spans="1:8" x14ac:dyDescent="0.25">
      <c r="A667" s="288"/>
      <c r="B667" s="268"/>
      <c r="C667" s="24" t="s">
        <v>13</v>
      </c>
      <c r="D667" s="255">
        <v>3</v>
      </c>
      <c r="E667" s="143" t="s">
        <v>271</v>
      </c>
      <c r="F667" s="15">
        <v>20</v>
      </c>
      <c r="G667" s="16" t="s">
        <v>167</v>
      </c>
      <c r="H667" s="4" t="s">
        <v>117</v>
      </c>
    </row>
    <row r="668" spans="1:8" x14ac:dyDescent="0.25">
      <c r="A668" s="288"/>
      <c r="B668" s="268"/>
      <c r="C668" s="24" t="s">
        <v>13</v>
      </c>
      <c r="D668" s="255"/>
      <c r="E668" s="98" t="s">
        <v>94</v>
      </c>
      <c r="F668" s="15">
        <v>14</v>
      </c>
      <c r="G668" s="16"/>
      <c r="H668" s="4"/>
    </row>
    <row r="669" spans="1:8" x14ac:dyDescent="0.25">
      <c r="A669" s="288"/>
      <c r="B669" s="268"/>
      <c r="C669" s="24" t="s">
        <v>13</v>
      </c>
      <c r="D669" s="265">
        <v>2</v>
      </c>
      <c r="E669" s="143" t="s">
        <v>271</v>
      </c>
      <c r="F669" s="15">
        <v>20</v>
      </c>
      <c r="G669" s="16" t="s">
        <v>172</v>
      </c>
      <c r="H669" s="4" t="s">
        <v>121</v>
      </c>
    </row>
    <row r="670" spans="1:8" x14ac:dyDescent="0.25">
      <c r="A670" s="288"/>
      <c r="B670" s="268"/>
      <c r="C670" s="24" t="s">
        <v>13</v>
      </c>
      <c r="D670" s="263"/>
      <c r="E670" s="155" t="s">
        <v>200</v>
      </c>
      <c r="F670" s="15">
        <v>10</v>
      </c>
      <c r="G670" s="16"/>
      <c r="H670" s="4"/>
    </row>
    <row r="671" spans="1:8" x14ac:dyDescent="0.25">
      <c r="A671" s="288"/>
      <c r="B671" s="268"/>
      <c r="C671" s="24" t="s">
        <v>13</v>
      </c>
      <c r="D671" s="263"/>
      <c r="E671" s="98" t="s">
        <v>94</v>
      </c>
      <c r="F671" s="15">
        <v>4</v>
      </c>
      <c r="G671" s="16"/>
      <c r="H671" s="4" t="s">
        <v>100</v>
      </c>
    </row>
    <row r="672" spans="1:8" x14ac:dyDescent="0.25">
      <c r="A672" s="288"/>
      <c r="B672" s="268"/>
      <c r="C672" s="24" t="s">
        <v>13</v>
      </c>
      <c r="D672" s="263">
        <v>2</v>
      </c>
      <c r="E672" s="143" t="s">
        <v>271</v>
      </c>
      <c r="F672" s="15">
        <v>38</v>
      </c>
      <c r="G672" s="16" t="s">
        <v>163</v>
      </c>
      <c r="H672" s="4"/>
    </row>
    <row r="673" spans="1:8" x14ac:dyDescent="0.25">
      <c r="A673" s="288"/>
      <c r="B673" s="268"/>
      <c r="C673" s="24" t="s">
        <v>13</v>
      </c>
      <c r="D673" s="264"/>
      <c r="E673" s="155" t="s">
        <v>200</v>
      </c>
      <c r="F673" s="15">
        <v>6</v>
      </c>
      <c r="G673" s="16"/>
      <c r="H673" s="4"/>
    </row>
    <row r="674" spans="1:8" ht="47.25" x14ac:dyDescent="0.25">
      <c r="A674" s="288"/>
      <c r="B674" s="268"/>
      <c r="C674" s="25" t="s">
        <v>6</v>
      </c>
      <c r="D674" s="248">
        <v>3</v>
      </c>
      <c r="E674" s="143" t="s">
        <v>283</v>
      </c>
      <c r="F674" s="15">
        <v>70</v>
      </c>
      <c r="G674" s="16">
        <v>110</v>
      </c>
      <c r="H674" s="14" t="s">
        <v>101</v>
      </c>
    </row>
    <row r="675" spans="1:8" x14ac:dyDescent="0.25">
      <c r="A675" s="288"/>
      <c r="B675" s="268"/>
      <c r="C675" s="24" t="s">
        <v>6</v>
      </c>
      <c r="D675" s="265">
        <v>2</v>
      </c>
      <c r="E675" s="98" t="s">
        <v>87</v>
      </c>
      <c r="F675" s="15">
        <v>3</v>
      </c>
      <c r="G675" s="16" t="s">
        <v>167</v>
      </c>
      <c r="H675" s="4" t="s">
        <v>123</v>
      </c>
    </row>
    <row r="676" spans="1:8" x14ac:dyDescent="0.25">
      <c r="A676" s="288"/>
      <c r="B676" s="268"/>
      <c r="C676" s="25" t="s">
        <v>6</v>
      </c>
      <c r="D676" s="263"/>
      <c r="E676" s="98" t="s">
        <v>73</v>
      </c>
      <c r="F676" s="15">
        <v>3</v>
      </c>
      <c r="G676" s="16"/>
      <c r="H676" s="4"/>
    </row>
    <row r="677" spans="1:8" x14ac:dyDescent="0.25">
      <c r="A677" s="288"/>
      <c r="B677" s="268"/>
      <c r="C677" s="25" t="s">
        <v>6</v>
      </c>
      <c r="D677" s="264"/>
      <c r="E677" s="98" t="s">
        <v>112</v>
      </c>
      <c r="F677" s="15">
        <v>4</v>
      </c>
      <c r="G677" s="16"/>
      <c r="H677" s="4"/>
    </row>
    <row r="678" spans="1:8" x14ac:dyDescent="0.25">
      <c r="A678" s="288"/>
      <c r="B678" s="268"/>
      <c r="C678" s="24" t="s">
        <v>13</v>
      </c>
      <c r="D678" s="265">
        <v>4</v>
      </c>
      <c r="E678" s="98" t="s">
        <v>58</v>
      </c>
      <c r="F678" s="15">
        <v>14</v>
      </c>
      <c r="G678" s="16" t="s">
        <v>165</v>
      </c>
      <c r="H678" s="4" t="s">
        <v>119</v>
      </c>
    </row>
    <row r="679" spans="1:8" x14ac:dyDescent="0.25">
      <c r="A679" s="288"/>
      <c r="B679" s="268"/>
      <c r="C679" s="24" t="s">
        <v>13</v>
      </c>
      <c r="D679" s="264"/>
      <c r="E679" s="98" t="s">
        <v>108</v>
      </c>
      <c r="F679" s="15">
        <v>6</v>
      </c>
      <c r="G679" s="16"/>
      <c r="H679" s="4"/>
    </row>
    <row r="680" spans="1:8" x14ac:dyDescent="0.25">
      <c r="A680" s="289"/>
      <c r="B680" s="269"/>
      <c r="C680" s="24" t="s">
        <v>13</v>
      </c>
      <c r="D680" s="248">
        <v>1</v>
      </c>
      <c r="E680" s="98" t="s">
        <v>51</v>
      </c>
      <c r="F680" s="15"/>
      <c r="G680" s="16"/>
      <c r="H680" s="4" t="s">
        <v>118</v>
      </c>
    </row>
    <row r="681" spans="1:8" x14ac:dyDescent="0.25">
      <c r="A681" s="287">
        <v>45771</v>
      </c>
      <c r="B681" s="261" t="s">
        <v>5</v>
      </c>
      <c r="C681" s="24" t="s">
        <v>13</v>
      </c>
      <c r="D681" s="265">
        <v>5</v>
      </c>
      <c r="E681" s="98" t="s">
        <v>35</v>
      </c>
      <c r="F681" s="15">
        <v>12</v>
      </c>
      <c r="G681" s="315">
        <v>116</v>
      </c>
      <c r="H681" s="325" t="s">
        <v>121</v>
      </c>
    </row>
    <row r="682" spans="1:8" x14ac:dyDescent="0.25">
      <c r="A682" s="288"/>
      <c r="B682" s="268"/>
      <c r="C682" s="24" t="s">
        <v>13</v>
      </c>
      <c r="D682" s="263"/>
      <c r="E682" s="98" t="s">
        <v>93</v>
      </c>
      <c r="F682" s="15">
        <v>5</v>
      </c>
      <c r="G682" s="317"/>
      <c r="H682" s="327"/>
    </row>
    <row r="683" spans="1:8" x14ac:dyDescent="0.25">
      <c r="A683" s="288"/>
      <c r="B683" s="268"/>
      <c r="C683" s="24" t="s">
        <v>13</v>
      </c>
      <c r="D683" s="263"/>
      <c r="E683" s="98" t="s">
        <v>35</v>
      </c>
      <c r="F683" s="15">
        <v>6</v>
      </c>
      <c r="G683" s="315" t="s">
        <v>173</v>
      </c>
      <c r="H683" s="325" t="s">
        <v>121</v>
      </c>
    </row>
    <row r="684" spans="1:8" x14ac:dyDescent="0.25">
      <c r="A684" s="288"/>
      <c r="B684" s="268"/>
      <c r="C684" s="24" t="s">
        <v>13</v>
      </c>
      <c r="D684" s="264"/>
      <c r="E684" s="98" t="s">
        <v>93</v>
      </c>
      <c r="F684" s="15">
        <v>2</v>
      </c>
      <c r="G684" s="317"/>
      <c r="H684" s="327"/>
    </row>
    <row r="685" spans="1:8" x14ac:dyDescent="0.25">
      <c r="A685" s="288"/>
      <c r="B685" s="268"/>
      <c r="C685" s="24" t="s">
        <v>6</v>
      </c>
      <c r="D685" s="265">
        <v>4</v>
      </c>
      <c r="E685" s="98" t="s">
        <v>73</v>
      </c>
      <c r="F685" s="15">
        <v>3</v>
      </c>
      <c r="G685" s="315">
        <v>111</v>
      </c>
      <c r="H685" s="325" t="s">
        <v>123</v>
      </c>
    </row>
    <row r="686" spans="1:8" x14ac:dyDescent="0.25">
      <c r="A686" s="288"/>
      <c r="B686" s="268"/>
      <c r="C686" s="24" t="s">
        <v>6</v>
      </c>
      <c r="D686" s="263"/>
      <c r="E686" s="98" t="s">
        <v>124</v>
      </c>
      <c r="F686" s="15">
        <v>3</v>
      </c>
      <c r="G686" s="316"/>
      <c r="H686" s="326"/>
    </row>
    <row r="687" spans="1:8" x14ac:dyDescent="0.25">
      <c r="A687" s="288"/>
      <c r="B687" s="268"/>
      <c r="C687" s="24" t="s">
        <v>6</v>
      </c>
      <c r="D687" s="263"/>
      <c r="E687" s="98" t="s">
        <v>73</v>
      </c>
      <c r="F687" s="15">
        <v>3</v>
      </c>
      <c r="G687" s="316"/>
      <c r="H687" s="326"/>
    </row>
    <row r="688" spans="1:8" x14ac:dyDescent="0.25">
      <c r="A688" s="288"/>
      <c r="B688" s="268"/>
      <c r="C688" s="24" t="s">
        <v>6</v>
      </c>
      <c r="D688" s="264"/>
      <c r="E688" s="98" t="s">
        <v>87</v>
      </c>
      <c r="F688" s="15">
        <v>3</v>
      </c>
      <c r="G688" s="317"/>
      <c r="H688" s="327"/>
    </row>
    <row r="689" spans="1:8" x14ac:dyDescent="0.25">
      <c r="A689" s="288"/>
      <c r="B689" s="268"/>
      <c r="C689" s="24" t="s">
        <v>6</v>
      </c>
      <c r="D689" s="265">
        <v>6</v>
      </c>
      <c r="E689" s="98" t="s">
        <v>26</v>
      </c>
      <c r="F689" s="15">
        <v>100</v>
      </c>
      <c r="G689" s="315" t="s">
        <v>195</v>
      </c>
      <c r="H689" s="325" t="s">
        <v>123</v>
      </c>
    </row>
    <row r="690" spans="1:8" x14ac:dyDescent="0.25">
      <c r="A690" s="288"/>
      <c r="B690" s="268"/>
      <c r="C690" s="24" t="s">
        <v>6</v>
      </c>
      <c r="D690" s="263"/>
      <c r="E690" s="98" t="s">
        <v>325</v>
      </c>
      <c r="F690" s="15">
        <v>50</v>
      </c>
      <c r="G690" s="316"/>
      <c r="H690" s="326"/>
    </row>
    <row r="691" spans="1:8" x14ac:dyDescent="0.25">
      <c r="A691" s="288"/>
      <c r="B691" s="268"/>
      <c r="C691" s="24" t="s">
        <v>6</v>
      </c>
      <c r="D691" s="264"/>
      <c r="E691" s="98" t="s">
        <v>450</v>
      </c>
      <c r="F691" s="15">
        <v>50</v>
      </c>
      <c r="G691" s="317"/>
      <c r="H691" s="327"/>
    </row>
    <row r="692" spans="1:8" x14ac:dyDescent="0.25">
      <c r="A692" s="288"/>
      <c r="B692" s="268"/>
      <c r="C692" s="24" t="s">
        <v>6</v>
      </c>
      <c r="D692" s="265">
        <v>3</v>
      </c>
      <c r="E692" s="98" t="s">
        <v>26</v>
      </c>
      <c r="F692" s="15">
        <v>60</v>
      </c>
      <c r="G692" s="315" t="s">
        <v>195</v>
      </c>
      <c r="H692" s="325" t="s">
        <v>123</v>
      </c>
    </row>
    <row r="693" spans="1:8" x14ac:dyDescent="0.25">
      <c r="A693" s="288"/>
      <c r="B693" s="268"/>
      <c r="C693" s="24" t="s">
        <v>6</v>
      </c>
      <c r="D693" s="263"/>
      <c r="E693" s="98" t="s">
        <v>325</v>
      </c>
      <c r="F693" s="15">
        <v>30</v>
      </c>
      <c r="G693" s="316"/>
      <c r="H693" s="326"/>
    </row>
    <row r="694" spans="1:8" x14ac:dyDescent="0.25">
      <c r="A694" s="288"/>
      <c r="B694" s="268"/>
      <c r="C694" s="24" t="s">
        <v>6</v>
      </c>
      <c r="D694" s="264"/>
      <c r="E694" s="98" t="s">
        <v>450</v>
      </c>
      <c r="F694" s="15">
        <v>30</v>
      </c>
      <c r="G694" s="317"/>
      <c r="H694" s="327"/>
    </row>
    <row r="695" spans="1:8" x14ac:dyDescent="0.25">
      <c r="A695" s="288"/>
      <c r="B695" s="268"/>
      <c r="C695" s="24" t="s">
        <v>13</v>
      </c>
      <c r="D695" s="265">
        <v>3</v>
      </c>
      <c r="E695" s="98" t="s">
        <v>97</v>
      </c>
      <c r="F695" s="15">
        <v>8</v>
      </c>
      <c r="G695" s="315">
        <v>111</v>
      </c>
      <c r="H695" s="325" t="s">
        <v>121</v>
      </c>
    </row>
    <row r="696" spans="1:8" x14ac:dyDescent="0.25">
      <c r="A696" s="288"/>
      <c r="B696" s="268"/>
      <c r="C696" s="24" t="s">
        <v>13</v>
      </c>
      <c r="D696" s="264"/>
      <c r="E696" s="98" t="s">
        <v>94</v>
      </c>
      <c r="F696" s="15">
        <v>12</v>
      </c>
      <c r="G696" s="317"/>
      <c r="H696" s="327"/>
    </row>
    <row r="697" spans="1:8" x14ac:dyDescent="0.25">
      <c r="A697" s="288"/>
      <c r="B697" s="268"/>
      <c r="C697" s="25" t="s">
        <v>6</v>
      </c>
      <c r="D697" s="248">
        <v>2</v>
      </c>
      <c r="E697" s="143" t="s">
        <v>271</v>
      </c>
      <c r="F697" s="15">
        <v>20</v>
      </c>
      <c r="G697" s="16">
        <v>112</v>
      </c>
      <c r="H697" s="4" t="s">
        <v>121</v>
      </c>
    </row>
    <row r="698" spans="1:8" x14ac:dyDescent="0.25">
      <c r="A698" s="288"/>
      <c r="B698" s="268"/>
      <c r="C698" s="24" t="s">
        <v>6</v>
      </c>
      <c r="D698" s="248">
        <v>2</v>
      </c>
      <c r="E698" s="96" t="s">
        <v>21</v>
      </c>
      <c r="F698" s="15"/>
      <c r="G698" s="16"/>
      <c r="H698" s="4"/>
    </row>
    <row r="699" spans="1:8" x14ac:dyDescent="0.25">
      <c r="A699" s="288"/>
      <c r="B699" s="268"/>
      <c r="C699" s="24" t="s">
        <v>6</v>
      </c>
      <c r="D699" s="248">
        <v>2</v>
      </c>
      <c r="E699" s="98" t="s">
        <v>51</v>
      </c>
      <c r="F699" s="15"/>
      <c r="G699" s="16"/>
      <c r="H699" s="4"/>
    </row>
    <row r="700" spans="1:8" x14ac:dyDescent="0.25">
      <c r="A700" s="289"/>
      <c r="B700" s="269"/>
      <c r="C700" s="24" t="s">
        <v>6</v>
      </c>
      <c r="D700" s="248">
        <v>2</v>
      </c>
      <c r="E700" s="98" t="s">
        <v>229</v>
      </c>
      <c r="F700" s="15"/>
      <c r="G700" s="16"/>
      <c r="H700" s="4"/>
    </row>
    <row r="701" spans="1:8" x14ac:dyDescent="0.25">
      <c r="A701" s="287">
        <v>46137</v>
      </c>
      <c r="B701" s="261" t="s">
        <v>36</v>
      </c>
      <c r="C701" s="24" t="s">
        <v>13</v>
      </c>
      <c r="D701" s="265">
        <v>2</v>
      </c>
      <c r="E701" s="98" t="s">
        <v>26</v>
      </c>
      <c r="F701" s="15">
        <v>30</v>
      </c>
      <c r="G701" s="16" t="s">
        <v>164</v>
      </c>
      <c r="H701" s="4" t="s">
        <v>125</v>
      </c>
    </row>
    <row r="702" spans="1:8" x14ac:dyDescent="0.25">
      <c r="A702" s="288"/>
      <c r="B702" s="268"/>
      <c r="C702" s="24" t="s">
        <v>13</v>
      </c>
      <c r="D702" s="263"/>
      <c r="E702" s="143" t="s">
        <v>271</v>
      </c>
      <c r="F702" s="15">
        <v>30</v>
      </c>
      <c r="G702" s="16"/>
      <c r="H702" s="4"/>
    </row>
    <row r="703" spans="1:8" x14ac:dyDescent="0.25">
      <c r="A703" s="288"/>
      <c r="B703" s="268"/>
      <c r="C703" s="24" t="s">
        <v>13</v>
      </c>
      <c r="D703" s="263"/>
      <c r="E703" s="98" t="s">
        <v>93</v>
      </c>
      <c r="F703" s="15">
        <v>4</v>
      </c>
      <c r="G703" s="16"/>
      <c r="H703" s="4"/>
    </row>
    <row r="704" spans="1:8" x14ac:dyDescent="0.25">
      <c r="A704" s="288"/>
      <c r="B704" s="268"/>
      <c r="C704" s="24" t="s">
        <v>13</v>
      </c>
      <c r="D704" s="264"/>
      <c r="E704" s="98" t="s">
        <v>79</v>
      </c>
      <c r="F704" s="15">
        <v>2</v>
      </c>
      <c r="G704" s="16"/>
      <c r="H704" s="4"/>
    </row>
    <row r="705" spans="1:8" x14ac:dyDescent="0.25">
      <c r="A705" s="288"/>
      <c r="B705" s="268"/>
      <c r="C705" s="24" t="s">
        <v>13</v>
      </c>
      <c r="D705" s="265">
        <v>3</v>
      </c>
      <c r="E705" s="98" t="s">
        <v>26</v>
      </c>
      <c r="F705" s="15">
        <v>32</v>
      </c>
      <c r="G705" s="16" t="s">
        <v>166</v>
      </c>
      <c r="H705" s="4" t="s">
        <v>125</v>
      </c>
    </row>
    <row r="706" spans="1:8" x14ac:dyDescent="0.25">
      <c r="A706" s="288"/>
      <c r="B706" s="268"/>
      <c r="C706" s="24" t="s">
        <v>13</v>
      </c>
      <c r="D706" s="263"/>
      <c r="E706" s="143" t="s">
        <v>271</v>
      </c>
      <c r="F706" s="15">
        <v>32</v>
      </c>
      <c r="G706" s="16"/>
      <c r="H706" s="4"/>
    </row>
    <row r="707" spans="1:8" x14ac:dyDescent="0.25">
      <c r="A707" s="288"/>
      <c r="B707" s="268"/>
      <c r="C707" s="24" t="s">
        <v>13</v>
      </c>
      <c r="D707" s="264"/>
      <c r="E707" s="98" t="s">
        <v>93</v>
      </c>
      <c r="F707" s="15">
        <v>3</v>
      </c>
      <c r="G707" s="16"/>
      <c r="H707" s="4"/>
    </row>
    <row r="708" spans="1:8" ht="47.25" x14ac:dyDescent="0.25">
      <c r="A708" s="288"/>
      <c r="B708" s="268"/>
      <c r="C708" s="24" t="s">
        <v>13</v>
      </c>
      <c r="D708" s="265">
        <v>3</v>
      </c>
      <c r="E708" s="98" t="s">
        <v>87</v>
      </c>
      <c r="F708" s="15">
        <v>3</v>
      </c>
      <c r="G708" s="16" t="s">
        <v>167</v>
      </c>
      <c r="H708" s="4" t="s">
        <v>126</v>
      </c>
    </row>
    <row r="709" spans="1:8" x14ac:dyDescent="0.25">
      <c r="A709" s="288"/>
      <c r="B709" s="268"/>
      <c r="C709" s="24" t="s">
        <v>13</v>
      </c>
      <c r="D709" s="264"/>
      <c r="E709" s="98" t="s">
        <v>73</v>
      </c>
      <c r="F709" s="15">
        <v>3</v>
      </c>
      <c r="G709" s="16"/>
      <c r="H709" s="4"/>
    </row>
    <row r="710" spans="1:8" x14ac:dyDescent="0.25">
      <c r="A710" s="288"/>
      <c r="B710" s="268"/>
      <c r="C710" s="24" t="s">
        <v>13</v>
      </c>
      <c r="D710" s="265">
        <v>4</v>
      </c>
      <c r="E710" s="98" t="s">
        <v>97</v>
      </c>
      <c r="F710" s="15">
        <v>2</v>
      </c>
      <c r="G710" s="16" t="s">
        <v>173</v>
      </c>
      <c r="H710" s="4" t="s">
        <v>127</v>
      </c>
    </row>
    <row r="711" spans="1:8" x14ac:dyDescent="0.25">
      <c r="A711" s="288"/>
      <c r="B711" s="268"/>
      <c r="C711" s="24" t="s">
        <v>13</v>
      </c>
      <c r="D711" s="263"/>
      <c r="E711" s="98" t="s">
        <v>94</v>
      </c>
      <c r="F711" s="15">
        <v>2</v>
      </c>
      <c r="G711" s="16"/>
      <c r="H711" s="4"/>
    </row>
    <row r="712" spans="1:8" x14ac:dyDescent="0.25">
      <c r="A712" s="288"/>
      <c r="B712" s="268"/>
      <c r="C712" s="24" t="s">
        <v>13</v>
      </c>
      <c r="D712" s="264"/>
      <c r="E712" s="143" t="s">
        <v>271</v>
      </c>
      <c r="F712" s="15">
        <v>8</v>
      </c>
      <c r="G712" s="16"/>
      <c r="H712" s="4"/>
    </row>
    <row r="713" spans="1:8" x14ac:dyDescent="0.25">
      <c r="A713" s="288"/>
      <c r="B713" s="268"/>
      <c r="C713" s="24" t="s">
        <v>13</v>
      </c>
      <c r="D713" s="265">
        <v>2</v>
      </c>
      <c r="E713" s="98" t="s">
        <v>97</v>
      </c>
      <c r="F713" s="15">
        <v>1</v>
      </c>
      <c r="G713" s="16" t="s">
        <v>172</v>
      </c>
      <c r="H713" s="4" t="s">
        <v>128</v>
      </c>
    </row>
    <row r="714" spans="1:8" x14ac:dyDescent="0.25">
      <c r="A714" s="288"/>
      <c r="B714" s="268"/>
      <c r="C714" s="24" t="s">
        <v>13</v>
      </c>
      <c r="D714" s="264"/>
      <c r="E714" s="98" t="s">
        <v>94</v>
      </c>
      <c r="F714" s="15">
        <v>2</v>
      </c>
      <c r="G714" s="16" t="s">
        <v>164</v>
      </c>
      <c r="H714" s="4"/>
    </row>
    <row r="715" spans="1:8" x14ac:dyDescent="0.25">
      <c r="A715" s="288"/>
      <c r="B715" s="268"/>
      <c r="C715" s="25" t="s">
        <v>13</v>
      </c>
      <c r="D715" s="248">
        <v>4</v>
      </c>
      <c r="E715" s="98" t="s">
        <v>14</v>
      </c>
      <c r="F715" s="15">
        <v>21</v>
      </c>
      <c r="G715" s="16" t="s">
        <v>165</v>
      </c>
      <c r="H715" s="4" t="s">
        <v>119</v>
      </c>
    </row>
    <row r="716" spans="1:8" x14ac:dyDescent="0.25">
      <c r="A716" s="288"/>
      <c r="B716" s="268"/>
      <c r="C716" s="24" t="s">
        <v>13</v>
      </c>
      <c r="D716" s="265">
        <v>4</v>
      </c>
      <c r="E716" s="143" t="s">
        <v>283</v>
      </c>
      <c r="F716" s="15">
        <v>70</v>
      </c>
      <c r="G716" s="16" t="s">
        <v>174</v>
      </c>
      <c r="H716" s="4"/>
    </row>
    <row r="717" spans="1:8" x14ac:dyDescent="0.25">
      <c r="A717" s="289"/>
      <c r="B717" s="269"/>
      <c r="C717" s="24" t="s">
        <v>13</v>
      </c>
      <c r="D717" s="264"/>
      <c r="E717" s="143" t="s">
        <v>283</v>
      </c>
      <c r="F717" s="15">
        <v>70</v>
      </c>
      <c r="G717" s="16" t="s">
        <v>175</v>
      </c>
      <c r="H717" s="4"/>
    </row>
    <row r="718" spans="1:8" x14ac:dyDescent="0.25">
      <c r="A718" s="287">
        <v>46137</v>
      </c>
      <c r="B718" s="261" t="s">
        <v>5</v>
      </c>
      <c r="C718" s="24" t="s">
        <v>6</v>
      </c>
      <c r="D718" s="248">
        <v>4</v>
      </c>
      <c r="E718" s="98" t="s">
        <v>26</v>
      </c>
      <c r="F718" s="15">
        <v>30</v>
      </c>
      <c r="G718" s="16" t="s">
        <v>160</v>
      </c>
      <c r="H718" s="4" t="s">
        <v>131</v>
      </c>
    </row>
    <row r="719" spans="1:8" x14ac:dyDescent="0.25">
      <c r="A719" s="288"/>
      <c r="B719" s="268"/>
      <c r="C719" s="24" t="s">
        <v>6</v>
      </c>
      <c r="D719" s="248"/>
      <c r="E719" s="143" t="s">
        <v>271</v>
      </c>
      <c r="F719" s="15">
        <v>30</v>
      </c>
      <c r="G719" s="16"/>
      <c r="H719" s="4"/>
    </row>
    <row r="720" spans="1:8" x14ac:dyDescent="0.25">
      <c r="A720" s="288"/>
      <c r="B720" s="268"/>
      <c r="C720" s="24" t="s">
        <v>6</v>
      </c>
      <c r="D720" s="248"/>
      <c r="E720" s="98" t="s">
        <v>93</v>
      </c>
      <c r="F720" s="15">
        <v>1</v>
      </c>
      <c r="G720" s="16"/>
      <c r="H720" s="4"/>
    </row>
    <row r="721" spans="1:8" x14ac:dyDescent="0.25">
      <c r="A721" s="288"/>
      <c r="B721" s="268"/>
      <c r="C721" s="24" t="s">
        <v>6</v>
      </c>
      <c r="D721" s="248">
        <v>3</v>
      </c>
      <c r="E721" s="98" t="s">
        <v>87</v>
      </c>
      <c r="F721" s="15">
        <v>3</v>
      </c>
      <c r="G721" s="16" t="s">
        <v>172</v>
      </c>
      <c r="H721" s="4" t="s">
        <v>130</v>
      </c>
    </row>
    <row r="722" spans="1:8" x14ac:dyDescent="0.25">
      <c r="A722" s="288"/>
      <c r="B722" s="268"/>
      <c r="C722" s="24" t="s">
        <v>6</v>
      </c>
      <c r="D722" s="248"/>
      <c r="E722" s="98" t="s">
        <v>308</v>
      </c>
      <c r="F722" s="15">
        <v>3</v>
      </c>
      <c r="G722" s="16"/>
      <c r="H722" s="4"/>
    </row>
    <row r="723" spans="1:8" x14ac:dyDescent="0.25">
      <c r="A723" s="288"/>
      <c r="B723" s="268"/>
      <c r="C723" s="24" t="s">
        <v>6</v>
      </c>
      <c r="D723" s="248"/>
      <c r="E723" s="98" t="s">
        <v>85</v>
      </c>
      <c r="F723" s="15">
        <v>3</v>
      </c>
      <c r="G723" s="16"/>
      <c r="H723" s="4"/>
    </row>
    <row r="724" spans="1:8" x14ac:dyDescent="0.25">
      <c r="A724" s="288"/>
      <c r="B724" s="268"/>
      <c r="C724" s="24" t="s">
        <v>13</v>
      </c>
      <c r="D724" s="248">
        <v>4</v>
      </c>
      <c r="E724" s="98" t="s">
        <v>26</v>
      </c>
      <c r="F724" s="15">
        <v>30</v>
      </c>
      <c r="G724" s="16" t="s">
        <v>164</v>
      </c>
      <c r="H724" s="4" t="s">
        <v>129</v>
      </c>
    </row>
    <row r="725" spans="1:8" x14ac:dyDescent="0.25">
      <c r="A725" s="288"/>
      <c r="B725" s="268"/>
      <c r="C725" s="24" t="s">
        <v>13</v>
      </c>
      <c r="D725" s="248"/>
      <c r="E725" s="143" t="s">
        <v>271</v>
      </c>
      <c r="F725" s="15">
        <v>30</v>
      </c>
      <c r="G725" s="16"/>
      <c r="H725" s="4"/>
    </row>
    <row r="726" spans="1:8" x14ac:dyDescent="0.25">
      <c r="A726" s="288"/>
      <c r="B726" s="268"/>
      <c r="C726" s="24" t="s">
        <v>13</v>
      </c>
      <c r="D726" s="248"/>
      <c r="E726" s="98" t="s">
        <v>93</v>
      </c>
      <c r="F726" s="15">
        <v>3</v>
      </c>
      <c r="G726" s="16"/>
      <c r="H726" s="4"/>
    </row>
    <row r="727" spans="1:8" x14ac:dyDescent="0.25">
      <c r="A727" s="288"/>
      <c r="B727" s="268"/>
      <c r="C727" s="24" t="s">
        <v>13</v>
      </c>
      <c r="D727" s="248">
        <v>2</v>
      </c>
      <c r="E727" s="98" t="s">
        <v>97</v>
      </c>
      <c r="F727" s="15">
        <v>8</v>
      </c>
      <c r="G727" s="16" t="s">
        <v>166</v>
      </c>
      <c r="H727" s="4"/>
    </row>
    <row r="728" spans="1:8" x14ac:dyDescent="0.25">
      <c r="A728" s="288"/>
      <c r="B728" s="268"/>
      <c r="C728" s="24" t="s">
        <v>13</v>
      </c>
      <c r="D728" s="248"/>
      <c r="E728" s="98" t="s">
        <v>94</v>
      </c>
      <c r="F728" s="15">
        <v>4</v>
      </c>
      <c r="G728" s="16"/>
      <c r="H728" s="4"/>
    </row>
    <row r="729" spans="1:8" x14ac:dyDescent="0.25">
      <c r="A729" s="288"/>
      <c r="B729" s="268"/>
      <c r="C729" s="24" t="s">
        <v>13</v>
      </c>
      <c r="D729" s="248"/>
      <c r="E729" s="98" t="s">
        <v>97</v>
      </c>
      <c r="F729" s="15">
        <v>4</v>
      </c>
      <c r="G729" s="16" t="s">
        <v>163</v>
      </c>
      <c r="H729" s="4"/>
    </row>
    <row r="730" spans="1:8" x14ac:dyDescent="0.25">
      <c r="A730" s="288"/>
      <c r="B730" s="268"/>
      <c r="C730" s="24" t="s">
        <v>13</v>
      </c>
      <c r="D730" s="248">
        <v>3</v>
      </c>
      <c r="E730" s="98" t="s">
        <v>26</v>
      </c>
      <c r="F730" s="15">
        <v>20</v>
      </c>
      <c r="G730" s="16" t="s">
        <v>164</v>
      </c>
      <c r="H730" s="4" t="s">
        <v>131</v>
      </c>
    </row>
    <row r="731" spans="1:8" x14ac:dyDescent="0.25">
      <c r="A731" s="288"/>
      <c r="B731" s="268"/>
      <c r="C731" s="24" t="s">
        <v>13</v>
      </c>
      <c r="D731" s="248"/>
      <c r="E731" s="143" t="s">
        <v>271</v>
      </c>
      <c r="F731" s="15">
        <v>20</v>
      </c>
      <c r="G731" s="16"/>
      <c r="H731" s="4"/>
    </row>
    <row r="732" spans="1:8" x14ac:dyDescent="0.25">
      <c r="A732" s="288"/>
      <c r="B732" s="268"/>
      <c r="C732" s="24" t="s">
        <v>6</v>
      </c>
      <c r="D732" s="248">
        <v>8</v>
      </c>
      <c r="E732" s="98" t="s">
        <v>325</v>
      </c>
      <c r="F732" s="15">
        <v>70</v>
      </c>
      <c r="G732" s="16">
        <v>111</v>
      </c>
      <c r="H732" s="4" t="s">
        <v>130</v>
      </c>
    </row>
    <row r="733" spans="1:8" x14ac:dyDescent="0.25">
      <c r="A733" s="288"/>
      <c r="B733" s="268"/>
      <c r="C733" s="24" t="s">
        <v>6</v>
      </c>
      <c r="D733" s="248"/>
      <c r="E733" s="98" t="s">
        <v>450</v>
      </c>
      <c r="F733" s="15">
        <v>70</v>
      </c>
      <c r="G733" s="16"/>
      <c r="H733" s="4"/>
    </row>
    <row r="734" spans="1:8" x14ac:dyDescent="0.25">
      <c r="A734" s="288"/>
      <c r="B734" s="268"/>
      <c r="C734" s="24" t="s">
        <v>6</v>
      </c>
      <c r="D734" s="248">
        <v>1</v>
      </c>
      <c r="E734" s="98" t="s">
        <v>51</v>
      </c>
      <c r="F734" s="15"/>
      <c r="G734" s="16"/>
      <c r="H734" s="4" t="s">
        <v>133</v>
      </c>
    </row>
    <row r="735" spans="1:8" x14ac:dyDescent="0.25">
      <c r="A735" s="288"/>
      <c r="B735" s="268"/>
      <c r="C735" s="24" t="s">
        <v>6</v>
      </c>
      <c r="D735" s="248">
        <v>2</v>
      </c>
      <c r="E735" s="98" t="s">
        <v>132</v>
      </c>
      <c r="F735" s="15"/>
      <c r="G735" s="16"/>
      <c r="H735" s="4"/>
    </row>
    <row r="736" spans="1:8" x14ac:dyDescent="0.25">
      <c r="A736" s="288"/>
      <c r="B736" s="268"/>
      <c r="C736" s="24" t="s">
        <v>6</v>
      </c>
      <c r="D736" s="248">
        <v>4</v>
      </c>
      <c r="E736" s="98" t="s">
        <v>51</v>
      </c>
      <c r="F736" s="15"/>
      <c r="G736" s="16"/>
      <c r="H736" s="4" t="s">
        <v>134</v>
      </c>
    </row>
    <row r="737" spans="1:8" x14ac:dyDescent="0.25">
      <c r="A737" s="289"/>
      <c r="B737" s="269"/>
      <c r="C737" s="24" t="s">
        <v>6</v>
      </c>
      <c r="D737" s="248">
        <v>2</v>
      </c>
      <c r="E737" s="98" t="s">
        <v>229</v>
      </c>
      <c r="F737" s="15"/>
      <c r="G737" s="16"/>
      <c r="H737" s="4"/>
    </row>
    <row r="738" spans="1:8" x14ac:dyDescent="0.25">
      <c r="A738" s="322">
        <v>46138</v>
      </c>
      <c r="B738" s="321" t="s">
        <v>36</v>
      </c>
      <c r="C738" s="30" t="s">
        <v>13</v>
      </c>
      <c r="D738" s="340">
        <v>2</v>
      </c>
      <c r="E738" s="158" t="s">
        <v>97</v>
      </c>
      <c r="F738" s="5">
        <v>4</v>
      </c>
      <c r="G738" s="315">
        <v>111</v>
      </c>
      <c r="H738" s="14"/>
    </row>
    <row r="739" spans="1:8" x14ac:dyDescent="0.25">
      <c r="A739" s="323"/>
      <c r="B739" s="297"/>
      <c r="C739" s="30" t="s">
        <v>13</v>
      </c>
      <c r="D739" s="340"/>
      <c r="E739" s="158" t="s">
        <v>94</v>
      </c>
      <c r="F739" s="5">
        <v>4</v>
      </c>
      <c r="G739" s="316"/>
      <c r="H739" s="14"/>
    </row>
    <row r="740" spans="1:8" x14ac:dyDescent="0.25">
      <c r="A740" s="323"/>
      <c r="B740" s="297"/>
      <c r="C740" s="30" t="s">
        <v>13</v>
      </c>
      <c r="D740" s="340"/>
      <c r="E740" s="96" t="s">
        <v>87</v>
      </c>
      <c r="F740" s="5">
        <v>3</v>
      </c>
      <c r="G740" s="316"/>
      <c r="H740" s="14"/>
    </row>
    <row r="741" spans="1:8" x14ac:dyDescent="0.25">
      <c r="A741" s="323"/>
      <c r="B741" s="297"/>
      <c r="C741" s="30" t="s">
        <v>13</v>
      </c>
      <c r="D741" s="340"/>
      <c r="E741" s="96" t="s">
        <v>73</v>
      </c>
      <c r="F741" s="5">
        <v>3</v>
      </c>
      <c r="G741" s="317"/>
      <c r="H741" s="14"/>
    </row>
    <row r="742" spans="1:8" x14ac:dyDescent="0.25">
      <c r="A742" s="323"/>
      <c r="B742" s="297"/>
      <c r="C742" s="30" t="s">
        <v>13</v>
      </c>
      <c r="D742" s="292">
        <v>3</v>
      </c>
      <c r="E742" s="96" t="s">
        <v>86</v>
      </c>
      <c r="F742" s="5">
        <v>6</v>
      </c>
      <c r="G742" s="318">
        <v>112</v>
      </c>
      <c r="H742" s="14"/>
    </row>
    <row r="743" spans="1:8" x14ac:dyDescent="0.25">
      <c r="A743" s="323"/>
      <c r="B743" s="297"/>
      <c r="C743" s="30" t="s">
        <v>13</v>
      </c>
      <c r="D743" s="292"/>
      <c r="E743" s="98" t="s">
        <v>83</v>
      </c>
      <c r="F743" s="5">
        <v>6</v>
      </c>
      <c r="G743" s="319"/>
      <c r="H743" s="14"/>
    </row>
    <row r="744" spans="1:8" x14ac:dyDescent="0.25">
      <c r="A744" s="323"/>
      <c r="B744" s="297"/>
      <c r="C744" s="30" t="s">
        <v>13</v>
      </c>
      <c r="D744" s="292"/>
      <c r="E744" s="98" t="s">
        <v>107</v>
      </c>
      <c r="F744" s="15"/>
      <c r="G744" s="320"/>
      <c r="H744" s="4"/>
    </row>
    <row r="745" spans="1:8" x14ac:dyDescent="0.25">
      <c r="A745" s="323"/>
      <c r="B745" s="297"/>
      <c r="C745" s="24" t="s">
        <v>13</v>
      </c>
      <c r="D745" s="255">
        <v>4</v>
      </c>
      <c r="E745" s="98" t="s">
        <v>35</v>
      </c>
      <c r="F745" s="15">
        <v>4</v>
      </c>
      <c r="G745" s="315">
        <v>116</v>
      </c>
      <c r="H745" s="4"/>
    </row>
    <row r="746" spans="1:8" x14ac:dyDescent="0.25">
      <c r="A746" s="323"/>
      <c r="B746" s="297"/>
      <c r="C746" s="30" t="s">
        <v>13</v>
      </c>
      <c r="D746" s="255"/>
      <c r="E746" s="98" t="s">
        <v>93</v>
      </c>
      <c r="F746" s="15">
        <v>3</v>
      </c>
      <c r="G746" s="316"/>
      <c r="H746" s="4"/>
    </row>
    <row r="747" spans="1:8" x14ac:dyDescent="0.25">
      <c r="A747" s="323"/>
      <c r="B747" s="297"/>
      <c r="C747" s="30" t="s">
        <v>13</v>
      </c>
      <c r="D747" s="255"/>
      <c r="E747" s="143" t="s">
        <v>271</v>
      </c>
      <c r="F747" s="15">
        <v>35</v>
      </c>
      <c r="G747" s="316"/>
      <c r="H747" s="4"/>
    </row>
    <row r="748" spans="1:8" x14ac:dyDescent="0.25">
      <c r="A748" s="323"/>
      <c r="B748" s="297"/>
      <c r="C748" s="30" t="s">
        <v>13</v>
      </c>
      <c r="D748" s="255"/>
      <c r="E748" s="98" t="s">
        <v>94</v>
      </c>
      <c r="F748" s="15">
        <v>6</v>
      </c>
      <c r="G748" s="317"/>
      <c r="H748" s="4"/>
    </row>
    <row r="749" spans="1:8" x14ac:dyDescent="0.25">
      <c r="A749" s="323"/>
      <c r="B749" s="297"/>
      <c r="C749" s="25" t="s">
        <v>13</v>
      </c>
      <c r="D749" s="248">
        <v>4</v>
      </c>
      <c r="E749" s="143" t="s">
        <v>283</v>
      </c>
      <c r="F749" s="15">
        <v>155</v>
      </c>
      <c r="G749" s="16" t="s">
        <v>161</v>
      </c>
      <c r="H749" s="4"/>
    </row>
    <row r="750" spans="1:8" x14ac:dyDescent="0.25">
      <c r="A750" s="323"/>
      <c r="B750" s="297"/>
      <c r="C750" s="24" t="s">
        <v>13</v>
      </c>
      <c r="D750" s="255">
        <v>4</v>
      </c>
      <c r="E750" s="98" t="s">
        <v>450</v>
      </c>
      <c r="F750" s="15">
        <v>100</v>
      </c>
      <c r="G750" s="315" t="s">
        <v>195</v>
      </c>
      <c r="H750" s="4"/>
    </row>
    <row r="751" spans="1:8" x14ac:dyDescent="0.25">
      <c r="A751" s="323"/>
      <c r="B751" s="297"/>
      <c r="C751" s="30" t="s">
        <v>13</v>
      </c>
      <c r="D751" s="255"/>
      <c r="E751" s="98" t="s">
        <v>26</v>
      </c>
      <c r="F751" s="15">
        <v>80</v>
      </c>
      <c r="G751" s="317"/>
      <c r="H751" s="4"/>
    </row>
    <row r="752" spans="1:8" x14ac:dyDescent="0.25">
      <c r="A752" s="323"/>
      <c r="B752" s="297"/>
      <c r="C752" s="24" t="s">
        <v>13</v>
      </c>
      <c r="D752" s="255">
        <v>2</v>
      </c>
      <c r="E752" s="98" t="s">
        <v>90</v>
      </c>
      <c r="F752" s="15">
        <v>6</v>
      </c>
      <c r="G752" s="16">
        <v>114</v>
      </c>
      <c r="H752" s="4"/>
    </row>
    <row r="753" spans="1:8" ht="31.5" x14ac:dyDescent="0.25">
      <c r="A753" s="323"/>
      <c r="B753" s="297"/>
      <c r="C753" s="30" t="s">
        <v>13</v>
      </c>
      <c r="D753" s="255"/>
      <c r="E753" s="98" t="s">
        <v>282</v>
      </c>
      <c r="F753" s="15"/>
      <c r="G753" s="16">
        <v>101</v>
      </c>
      <c r="H753" s="4" t="s">
        <v>135</v>
      </c>
    </row>
    <row r="754" spans="1:8" x14ac:dyDescent="0.25">
      <c r="A754" s="324"/>
      <c r="B754" s="298"/>
      <c r="C754" s="30" t="s">
        <v>13</v>
      </c>
      <c r="D754" s="248">
        <v>2</v>
      </c>
      <c r="E754" s="98" t="s">
        <v>86</v>
      </c>
      <c r="F754" s="15">
        <v>4</v>
      </c>
      <c r="G754" s="16">
        <v>111</v>
      </c>
      <c r="H754" s="4"/>
    </row>
    <row r="755" spans="1:8" x14ac:dyDescent="0.25">
      <c r="A755" s="293">
        <v>46138</v>
      </c>
      <c r="B755" s="261" t="s">
        <v>5</v>
      </c>
      <c r="C755" s="24" t="s">
        <v>13</v>
      </c>
      <c r="D755" s="265">
        <v>5</v>
      </c>
      <c r="E755" s="98" t="s">
        <v>35</v>
      </c>
      <c r="F755" s="15">
        <v>17</v>
      </c>
      <c r="G755" s="16">
        <v>116</v>
      </c>
      <c r="H755" s="4" t="s">
        <v>136</v>
      </c>
    </row>
    <row r="756" spans="1:8" x14ac:dyDescent="0.25">
      <c r="A756" s="293"/>
      <c r="B756" s="268"/>
      <c r="C756" s="30" t="s">
        <v>13</v>
      </c>
      <c r="D756" s="264"/>
      <c r="E756" s="98" t="s">
        <v>93</v>
      </c>
      <c r="F756" s="15">
        <v>6</v>
      </c>
      <c r="G756" s="16"/>
      <c r="H756" s="4"/>
    </row>
    <row r="757" spans="1:8" x14ac:dyDescent="0.25">
      <c r="A757" s="293"/>
      <c r="B757" s="268"/>
      <c r="C757" s="24" t="s">
        <v>6</v>
      </c>
      <c r="D757" s="265">
        <v>5</v>
      </c>
      <c r="E757" s="98" t="s">
        <v>99</v>
      </c>
      <c r="F757" s="15">
        <v>1</v>
      </c>
      <c r="G757" s="16"/>
      <c r="H757" s="4" t="s">
        <v>136</v>
      </c>
    </row>
    <row r="758" spans="1:8" x14ac:dyDescent="0.25">
      <c r="A758" s="293"/>
      <c r="B758" s="268"/>
      <c r="C758" s="24" t="s">
        <v>6</v>
      </c>
      <c r="D758" s="263"/>
      <c r="E758" s="98" t="s">
        <v>85</v>
      </c>
      <c r="F758" s="15">
        <v>4</v>
      </c>
      <c r="G758" s="16"/>
      <c r="H758" s="4"/>
    </row>
    <row r="759" spans="1:8" x14ac:dyDescent="0.25">
      <c r="A759" s="293"/>
      <c r="B759" s="268"/>
      <c r="C759" s="24" t="s">
        <v>6</v>
      </c>
      <c r="D759" s="264"/>
      <c r="E759" s="98" t="s">
        <v>73</v>
      </c>
      <c r="F759" s="15">
        <v>3</v>
      </c>
      <c r="G759" s="16"/>
      <c r="H759" s="4"/>
    </row>
    <row r="760" spans="1:8" x14ac:dyDescent="0.25">
      <c r="A760" s="293"/>
      <c r="B760" s="268"/>
      <c r="C760" s="24" t="s">
        <v>6</v>
      </c>
      <c r="D760" s="265">
        <v>6</v>
      </c>
      <c r="E760" s="98" t="s">
        <v>325</v>
      </c>
      <c r="F760" s="15">
        <v>50</v>
      </c>
      <c r="G760" s="16">
        <v>111</v>
      </c>
      <c r="H760" s="4" t="s">
        <v>136</v>
      </c>
    </row>
    <row r="761" spans="1:8" x14ac:dyDescent="0.25">
      <c r="A761" s="293"/>
      <c r="B761" s="268"/>
      <c r="C761" s="24" t="s">
        <v>6</v>
      </c>
      <c r="D761" s="264"/>
      <c r="E761" s="98" t="s">
        <v>450</v>
      </c>
      <c r="F761" s="15">
        <v>50</v>
      </c>
      <c r="G761" s="16"/>
      <c r="H761" s="4"/>
    </row>
    <row r="762" spans="1:8" x14ac:dyDescent="0.25">
      <c r="A762" s="293"/>
      <c r="B762" s="268"/>
      <c r="C762" s="24" t="s">
        <v>6</v>
      </c>
      <c r="D762" s="265">
        <v>5</v>
      </c>
      <c r="E762" s="143" t="s">
        <v>271</v>
      </c>
      <c r="F762" s="15">
        <v>20</v>
      </c>
      <c r="G762" s="16">
        <v>112</v>
      </c>
      <c r="H762" s="4" t="s">
        <v>136</v>
      </c>
    </row>
    <row r="763" spans="1:8" x14ac:dyDescent="0.25">
      <c r="A763" s="293"/>
      <c r="B763" s="268"/>
      <c r="C763" s="24" t="s">
        <v>6</v>
      </c>
      <c r="D763" s="264"/>
      <c r="E763" s="155" t="s">
        <v>200</v>
      </c>
      <c r="F763" s="15">
        <v>40</v>
      </c>
      <c r="G763" s="16"/>
      <c r="H763" s="4"/>
    </row>
    <row r="764" spans="1:8" x14ac:dyDescent="0.25">
      <c r="A764" s="293"/>
      <c r="B764" s="268"/>
      <c r="C764" s="24" t="s">
        <v>13</v>
      </c>
      <c r="D764" s="265">
        <v>3</v>
      </c>
      <c r="E764" s="98" t="s">
        <v>97</v>
      </c>
      <c r="F764" s="15">
        <v>4</v>
      </c>
      <c r="G764" s="16" t="s">
        <v>163</v>
      </c>
      <c r="H764" s="4" t="s">
        <v>136</v>
      </c>
    </row>
    <row r="765" spans="1:8" x14ac:dyDescent="0.25">
      <c r="A765" s="293"/>
      <c r="B765" s="268"/>
      <c r="C765" s="24" t="s">
        <v>13</v>
      </c>
      <c r="D765" s="264"/>
      <c r="E765" s="98" t="s">
        <v>97</v>
      </c>
      <c r="F765" s="15">
        <v>4</v>
      </c>
      <c r="G765" s="16" t="s">
        <v>164</v>
      </c>
      <c r="H765" s="4"/>
    </row>
    <row r="766" spans="1:8" x14ac:dyDescent="0.25">
      <c r="A766" s="293"/>
      <c r="B766" s="268"/>
      <c r="C766" s="25" t="s">
        <v>6</v>
      </c>
      <c r="D766" s="248">
        <v>2</v>
      </c>
      <c r="E766" s="98" t="s">
        <v>132</v>
      </c>
      <c r="F766" s="15"/>
      <c r="G766" s="16"/>
      <c r="H766" s="4"/>
    </row>
    <row r="767" spans="1:8" x14ac:dyDescent="0.25">
      <c r="A767" s="293"/>
      <c r="B767" s="268"/>
      <c r="C767" s="24" t="s">
        <v>6</v>
      </c>
      <c r="D767" s="248">
        <v>2</v>
      </c>
      <c r="E767" s="96" t="s">
        <v>21</v>
      </c>
      <c r="F767" s="15"/>
      <c r="G767" s="16"/>
      <c r="H767" s="4"/>
    </row>
    <row r="768" spans="1:8" x14ac:dyDescent="0.25">
      <c r="A768" s="293"/>
      <c r="B768" s="268"/>
      <c r="C768" s="24" t="s">
        <v>6</v>
      </c>
      <c r="D768" s="248">
        <v>4</v>
      </c>
      <c r="E768" s="98" t="s">
        <v>51</v>
      </c>
      <c r="F768" s="15"/>
      <c r="G768" s="16"/>
      <c r="H768" s="4" t="s">
        <v>137</v>
      </c>
    </row>
    <row r="769" spans="1:8" x14ac:dyDescent="0.25">
      <c r="A769" s="293"/>
      <c r="B769" s="269"/>
      <c r="C769" s="24" t="s">
        <v>6</v>
      </c>
      <c r="D769" s="248">
        <v>3</v>
      </c>
      <c r="E769" s="98" t="s">
        <v>229</v>
      </c>
      <c r="F769" s="15"/>
      <c r="G769" s="16"/>
      <c r="H769" s="4"/>
    </row>
    <row r="770" spans="1:8" x14ac:dyDescent="0.25">
      <c r="A770" s="338">
        <v>46139</v>
      </c>
      <c r="B770" s="321" t="s">
        <v>36</v>
      </c>
      <c r="C770" s="24" t="s">
        <v>13</v>
      </c>
      <c r="D770" s="265">
        <v>5</v>
      </c>
      <c r="E770" s="143" t="s">
        <v>271</v>
      </c>
      <c r="F770" s="15">
        <v>11</v>
      </c>
      <c r="G770" s="16" t="s">
        <v>176</v>
      </c>
      <c r="H770" s="4" t="s">
        <v>100</v>
      </c>
    </row>
    <row r="771" spans="1:8" x14ac:dyDescent="0.25">
      <c r="A771" s="338"/>
      <c r="B771" s="297"/>
      <c r="C771" s="24" t="s">
        <v>13</v>
      </c>
      <c r="D771" s="263"/>
      <c r="E771" s="98" t="s">
        <v>93</v>
      </c>
      <c r="F771" s="15">
        <v>2</v>
      </c>
      <c r="G771" s="16"/>
      <c r="H771" s="4"/>
    </row>
    <row r="772" spans="1:8" x14ac:dyDescent="0.25">
      <c r="A772" s="338"/>
      <c r="B772" s="297"/>
      <c r="C772" s="24" t="s">
        <v>13</v>
      </c>
      <c r="D772" s="263"/>
      <c r="E772" s="98" t="s">
        <v>140</v>
      </c>
      <c r="F772" s="15">
        <v>4.5</v>
      </c>
      <c r="G772" s="16"/>
      <c r="H772" s="4"/>
    </row>
    <row r="773" spans="1:8" x14ac:dyDescent="0.25">
      <c r="A773" s="338"/>
      <c r="B773" s="297"/>
      <c r="C773" s="24" t="s">
        <v>13</v>
      </c>
      <c r="D773" s="263"/>
      <c r="E773" s="98" t="s">
        <v>94</v>
      </c>
      <c r="F773" s="15">
        <v>2</v>
      </c>
      <c r="G773" s="16"/>
      <c r="H773" s="4"/>
    </row>
    <row r="774" spans="1:8" x14ac:dyDescent="0.25">
      <c r="A774" s="338"/>
      <c r="B774" s="297"/>
      <c r="C774" s="24" t="s">
        <v>13</v>
      </c>
      <c r="D774" s="264"/>
      <c r="E774" s="98" t="s">
        <v>97</v>
      </c>
      <c r="F774" s="15">
        <v>2</v>
      </c>
      <c r="G774" s="16"/>
      <c r="H774" s="4" t="s">
        <v>138</v>
      </c>
    </row>
    <row r="775" spans="1:8" x14ac:dyDescent="0.25">
      <c r="A775" s="338"/>
      <c r="B775" s="297"/>
      <c r="C775" s="24" t="s">
        <v>13</v>
      </c>
      <c r="D775" s="265">
        <v>5</v>
      </c>
      <c r="E775" s="154" t="s">
        <v>280</v>
      </c>
      <c r="F775" s="15">
        <v>8</v>
      </c>
      <c r="G775" s="16">
        <v>111</v>
      </c>
      <c r="H775" s="4"/>
    </row>
    <row r="776" spans="1:8" x14ac:dyDescent="0.25">
      <c r="A776" s="338"/>
      <c r="B776" s="297"/>
      <c r="C776" s="24" t="s">
        <v>13</v>
      </c>
      <c r="D776" s="263"/>
      <c r="E776" s="154" t="s">
        <v>280</v>
      </c>
      <c r="F776" s="15">
        <v>10</v>
      </c>
      <c r="G776" s="16">
        <v>114</v>
      </c>
      <c r="H776" s="4"/>
    </row>
    <row r="777" spans="1:8" ht="47.25" x14ac:dyDescent="0.25">
      <c r="A777" s="338"/>
      <c r="B777" s="297"/>
      <c r="C777" s="24" t="s">
        <v>13</v>
      </c>
      <c r="D777" s="263"/>
      <c r="E777" s="98" t="s">
        <v>90</v>
      </c>
      <c r="F777" s="15">
        <v>14</v>
      </c>
      <c r="G777" s="16"/>
      <c r="H777" s="4" t="s">
        <v>139</v>
      </c>
    </row>
    <row r="778" spans="1:8" x14ac:dyDescent="0.25">
      <c r="A778" s="338"/>
      <c r="B778" s="297"/>
      <c r="C778" s="24" t="s">
        <v>13</v>
      </c>
      <c r="D778" s="264"/>
      <c r="E778" s="154" t="s">
        <v>280</v>
      </c>
      <c r="F778" s="15">
        <v>14</v>
      </c>
      <c r="G778" s="16">
        <v>116</v>
      </c>
      <c r="H778" s="4"/>
    </row>
    <row r="779" spans="1:8" x14ac:dyDescent="0.25">
      <c r="A779" s="338"/>
      <c r="B779" s="297"/>
      <c r="C779" s="24" t="s">
        <v>13</v>
      </c>
      <c r="D779" s="265">
        <v>5</v>
      </c>
      <c r="E779" s="143" t="s">
        <v>271</v>
      </c>
      <c r="F779" s="15">
        <v>32</v>
      </c>
      <c r="G779" s="16" t="s">
        <v>177</v>
      </c>
      <c r="H779" s="4" t="s">
        <v>136</v>
      </c>
    </row>
    <row r="780" spans="1:8" x14ac:dyDescent="0.25">
      <c r="A780" s="338"/>
      <c r="B780" s="297"/>
      <c r="C780" s="24" t="s">
        <v>13</v>
      </c>
      <c r="D780" s="263"/>
      <c r="E780" s="98" t="s">
        <v>26</v>
      </c>
      <c r="F780" s="15">
        <v>32</v>
      </c>
      <c r="G780" s="16"/>
      <c r="H780" s="4"/>
    </row>
    <row r="781" spans="1:8" x14ac:dyDescent="0.25">
      <c r="A781" s="338"/>
      <c r="B781" s="297"/>
      <c r="C781" s="24" t="s">
        <v>13</v>
      </c>
      <c r="D781" s="264"/>
      <c r="E781" s="98" t="s">
        <v>93</v>
      </c>
      <c r="F781" s="15">
        <v>1</v>
      </c>
      <c r="G781" s="16"/>
      <c r="H781" s="4"/>
    </row>
    <row r="782" spans="1:8" ht="47.25" x14ac:dyDescent="0.25">
      <c r="A782" s="338"/>
      <c r="B782" s="297"/>
      <c r="C782" s="24" t="s">
        <v>13</v>
      </c>
      <c r="D782" s="265">
        <v>5</v>
      </c>
      <c r="E782" s="98" t="s">
        <v>87</v>
      </c>
      <c r="F782" s="15">
        <v>3</v>
      </c>
      <c r="G782" s="16">
        <v>113</v>
      </c>
      <c r="H782" s="4" t="s">
        <v>126</v>
      </c>
    </row>
    <row r="783" spans="1:8" x14ac:dyDescent="0.25">
      <c r="A783" s="338"/>
      <c r="B783" s="297"/>
      <c r="C783" s="24" t="s">
        <v>13</v>
      </c>
      <c r="D783" s="263"/>
      <c r="E783" s="98" t="s">
        <v>87</v>
      </c>
      <c r="F783" s="15">
        <v>3</v>
      </c>
      <c r="G783" s="16">
        <v>107</v>
      </c>
      <c r="H783" s="4"/>
    </row>
    <row r="784" spans="1:8" x14ac:dyDescent="0.25">
      <c r="A784" s="339"/>
      <c r="B784" s="298"/>
      <c r="C784" s="24" t="s">
        <v>13</v>
      </c>
      <c r="D784" s="264"/>
      <c r="E784" s="143" t="s">
        <v>283</v>
      </c>
      <c r="F784" s="15">
        <v>95</v>
      </c>
      <c r="G784" s="16">
        <v>108</v>
      </c>
      <c r="H784" s="4"/>
    </row>
    <row r="785" spans="1:8" x14ac:dyDescent="0.25">
      <c r="A785" s="287">
        <v>46139</v>
      </c>
      <c r="B785" s="261" t="s">
        <v>5</v>
      </c>
      <c r="C785" s="24" t="s">
        <v>6</v>
      </c>
      <c r="D785" s="265">
        <v>5</v>
      </c>
      <c r="E785" s="98" t="s">
        <v>35</v>
      </c>
      <c r="F785" s="15">
        <v>24</v>
      </c>
      <c r="G785" s="16" t="s">
        <v>172</v>
      </c>
      <c r="H785" s="4"/>
    </row>
    <row r="786" spans="1:8" x14ac:dyDescent="0.25">
      <c r="A786" s="288"/>
      <c r="B786" s="268"/>
      <c r="C786" s="24" t="s">
        <v>6</v>
      </c>
      <c r="D786" s="264"/>
      <c r="E786" s="98" t="s">
        <v>93</v>
      </c>
      <c r="F786" s="15">
        <v>4</v>
      </c>
      <c r="G786" s="16"/>
      <c r="H786" s="4"/>
    </row>
    <row r="787" spans="1:8" x14ac:dyDescent="0.25">
      <c r="A787" s="288"/>
      <c r="B787" s="268"/>
      <c r="C787" s="24" t="s">
        <v>13</v>
      </c>
      <c r="D787" s="265">
        <v>4</v>
      </c>
      <c r="E787" s="98" t="s">
        <v>73</v>
      </c>
      <c r="F787" s="15">
        <v>6</v>
      </c>
      <c r="G787" s="16"/>
      <c r="H787" s="4"/>
    </row>
    <row r="788" spans="1:8" x14ac:dyDescent="0.25">
      <c r="A788" s="288"/>
      <c r="B788" s="268"/>
      <c r="C788" s="24" t="s">
        <v>13</v>
      </c>
      <c r="D788" s="263"/>
      <c r="E788" s="98" t="s">
        <v>87</v>
      </c>
      <c r="F788" s="15">
        <v>6</v>
      </c>
      <c r="G788" s="16"/>
      <c r="H788" s="4"/>
    </row>
    <row r="789" spans="1:8" x14ac:dyDescent="0.25">
      <c r="A789" s="288"/>
      <c r="B789" s="268"/>
      <c r="C789" s="24" t="s">
        <v>13</v>
      </c>
      <c r="D789" s="263"/>
      <c r="E789" s="98" t="s">
        <v>310</v>
      </c>
      <c r="F789" s="15">
        <v>6</v>
      </c>
      <c r="G789" s="16"/>
      <c r="H789" s="4"/>
    </row>
    <row r="790" spans="1:8" x14ac:dyDescent="0.25">
      <c r="A790" s="288"/>
      <c r="B790" s="268"/>
      <c r="C790" s="24" t="s">
        <v>13</v>
      </c>
      <c r="D790" s="263"/>
      <c r="E790" s="143" t="s">
        <v>283</v>
      </c>
      <c r="F790" s="15">
        <v>4</v>
      </c>
      <c r="G790" s="16"/>
      <c r="H790" s="4"/>
    </row>
    <row r="791" spans="1:8" x14ac:dyDescent="0.25">
      <c r="A791" s="288"/>
      <c r="B791" s="268"/>
      <c r="C791" s="24" t="s">
        <v>13</v>
      </c>
      <c r="D791" s="264"/>
      <c r="E791" s="96" t="s">
        <v>206</v>
      </c>
      <c r="F791" s="15">
        <v>3</v>
      </c>
      <c r="G791" s="16"/>
      <c r="H791" s="4"/>
    </row>
    <row r="792" spans="1:8" x14ac:dyDescent="0.25">
      <c r="A792" s="288"/>
      <c r="B792" s="268"/>
      <c r="C792" s="24" t="s">
        <v>13</v>
      </c>
      <c r="D792" s="265">
        <v>5</v>
      </c>
      <c r="E792" s="98" t="s">
        <v>85</v>
      </c>
      <c r="F792" s="15">
        <v>11</v>
      </c>
      <c r="G792" s="16">
        <v>117</v>
      </c>
      <c r="H792" s="4"/>
    </row>
    <row r="793" spans="1:8" x14ac:dyDescent="0.25">
      <c r="A793" s="288"/>
      <c r="B793" s="268"/>
      <c r="C793" s="24" t="s">
        <v>13</v>
      </c>
      <c r="D793" s="263"/>
      <c r="E793" s="98" t="s">
        <v>87</v>
      </c>
      <c r="F793" s="15">
        <v>3</v>
      </c>
      <c r="G793" s="16"/>
      <c r="H793" s="4"/>
    </row>
    <row r="794" spans="1:8" x14ac:dyDescent="0.25">
      <c r="A794" s="288"/>
      <c r="B794" s="268"/>
      <c r="C794" s="24" t="s">
        <v>13</v>
      </c>
      <c r="D794" s="263"/>
      <c r="E794" s="98" t="s">
        <v>73</v>
      </c>
      <c r="F794" s="15">
        <v>15</v>
      </c>
      <c r="G794" s="16"/>
      <c r="H794" s="4"/>
    </row>
    <row r="795" spans="1:8" x14ac:dyDescent="0.25">
      <c r="A795" s="288"/>
      <c r="B795" s="268"/>
      <c r="C795" s="24" t="s">
        <v>13</v>
      </c>
      <c r="D795" s="264"/>
      <c r="E795" s="98" t="s">
        <v>88</v>
      </c>
      <c r="F795" s="15">
        <v>5</v>
      </c>
      <c r="G795" s="16"/>
      <c r="H795" s="4"/>
    </row>
    <row r="796" spans="1:8" x14ac:dyDescent="0.25">
      <c r="A796" s="288"/>
      <c r="B796" s="268"/>
      <c r="C796" s="24" t="s">
        <v>13</v>
      </c>
      <c r="D796" s="265">
        <v>4</v>
      </c>
      <c r="E796" s="98" t="s">
        <v>73</v>
      </c>
      <c r="F796" s="15">
        <v>10</v>
      </c>
      <c r="G796" s="16"/>
      <c r="H796" s="4"/>
    </row>
    <row r="797" spans="1:8" x14ac:dyDescent="0.25">
      <c r="A797" s="288"/>
      <c r="B797" s="268"/>
      <c r="C797" s="24" t="s">
        <v>13</v>
      </c>
      <c r="D797" s="264"/>
      <c r="E797" s="98" t="s">
        <v>99</v>
      </c>
      <c r="F797" s="15">
        <v>3</v>
      </c>
      <c r="G797" s="16"/>
      <c r="H797" s="4"/>
    </row>
    <row r="798" spans="1:8" x14ac:dyDescent="0.25">
      <c r="A798" s="288"/>
      <c r="B798" s="268"/>
      <c r="C798" s="24" t="s">
        <v>6</v>
      </c>
      <c r="D798" s="265">
        <v>4</v>
      </c>
      <c r="E798" s="98" t="s">
        <v>26</v>
      </c>
      <c r="F798" s="15">
        <v>18</v>
      </c>
      <c r="G798" s="16">
        <v>114</v>
      </c>
      <c r="H798" s="4" t="s">
        <v>141</v>
      </c>
    </row>
    <row r="799" spans="1:8" x14ac:dyDescent="0.25">
      <c r="A799" s="288"/>
      <c r="B799" s="268"/>
      <c r="C799" s="24" t="s">
        <v>6</v>
      </c>
      <c r="D799" s="263"/>
      <c r="E799" s="98" t="s">
        <v>325</v>
      </c>
      <c r="F799" s="15">
        <v>8</v>
      </c>
      <c r="G799" s="16"/>
      <c r="H799" s="4"/>
    </row>
    <row r="800" spans="1:8" x14ac:dyDescent="0.25">
      <c r="A800" s="288"/>
      <c r="B800" s="268"/>
      <c r="C800" s="24" t="s">
        <v>6</v>
      </c>
      <c r="D800" s="264"/>
      <c r="E800" s="98" t="s">
        <v>450</v>
      </c>
      <c r="F800" s="15">
        <v>10</v>
      </c>
      <c r="G800" s="16"/>
      <c r="H800" s="4"/>
    </row>
    <row r="801" spans="1:8" x14ac:dyDescent="0.25">
      <c r="A801" s="288"/>
      <c r="B801" s="268"/>
      <c r="C801" s="24" t="s">
        <v>6</v>
      </c>
      <c r="D801" s="265">
        <v>4</v>
      </c>
      <c r="E801" s="98" t="s">
        <v>26</v>
      </c>
      <c r="F801" s="15">
        <v>25</v>
      </c>
      <c r="G801" s="16">
        <v>115</v>
      </c>
      <c r="H801" s="4"/>
    </row>
    <row r="802" spans="1:8" x14ac:dyDescent="0.25">
      <c r="A802" s="288"/>
      <c r="B802" s="268"/>
      <c r="C802" s="24" t="s">
        <v>6</v>
      </c>
      <c r="D802" s="263"/>
      <c r="E802" s="98" t="s">
        <v>325</v>
      </c>
      <c r="F802" s="15">
        <v>15</v>
      </c>
      <c r="G802" s="16"/>
      <c r="H802" s="4"/>
    </row>
    <row r="803" spans="1:8" x14ac:dyDescent="0.25">
      <c r="A803" s="288"/>
      <c r="B803" s="268"/>
      <c r="C803" s="24" t="s">
        <v>6</v>
      </c>
      <c r="D803" s="264"/>
      <c r="E803" s="98" t="s">
        <v>450</v>
      </c>
      <c r="F803" s="15">
        <v>10</v>
      </c>
      <c r="G803" s="16"/>
      <c r="H803" s="4"/>
    </row>
    <row r="804" spans="1:8" x14ac:dyDescent="0.25">
      <c r="A804" s="288"/>
      <c r="B804" s="268"/>
      <c r="C804" s="24" t="s">
        <v>6</v>
      </c>
      <c r="D804" s="248">
        <v>2</v>
      </c>
      <c r="E804" s="98" t="s">
        <v>256</v>
      </c>
      <c r="F804" s="15"/>
      <c r="G804" s="16"/>
      <c r="H804" s="4"/>
    </row>
    <row r="805" spans="1:8" x14ac:dyDescent="0.25">
      <c r="A805" s="288"/>
      <c r="B805" s="268"/>
      <c r="C805" s="24" t="s">
        <v>6</v>
      </c>
      <c r="D805" s="248">
        <v>2</v>
      </c>
      <c r="E805" s="98" t="s">
        <v>132</v>
      </c>
      <c r="F805" s="15"/>
      <c r="G805" s="16"/>
      <c r="H805" s="4"/>
    </row>
    <row r="806" spans="1:8" x14ac:dyDescent="0.25">
      <c r="A806" s="288"/>
      <c r="B806" s="268"/>
      <c r="C806" s="24" t="s">
        <v>6</v>
      </c>
      <c r="D806" s="248">
        <v>3</v>
      </c>
      <c r="E806" s="98" t="s">
        <v>51</v>
      </c>
      <c r="F806" s="15"/>
      <c r="G806" s="16"/>
      <c r="H806" s="4"/>
    </row>
    <row r="807" spans="1:8" x14ac:dyDescent="0.25">
      <c r="A807" s="288"/>
      <c r="B807" s="268"/>
      <c r="C807" s="24" t="s">
        <v>6</v>
      </c>
      <c r="D807" s="248">
        <v>2</v>
      </c>
      <c r="E807" s="98" t="s">
        <v>229</v>
      </c>
      <c r="F807" s="15"/>
      <c r="G807" s="16"/>
      <c r="H807" s="4"/>
    </row>
    <row r="808" spans="1:8" x14ac:dyDescent="0.25">
      <c r="A808" s="289"/>
      <c r="B808" s="269"/>
      <c r="C808" s="25" t="s">
        <v>6</v>
      </c>
      <c r="D808" s="248">
        <v>1</v>
      </c>
      <c r="E808" s="96" t="s">
        <v>21</v>
      </c>
      <c r="F808" s="15"/>
      <c r="G808" s="16"/>
      <c r="H808" s="4"/>
    </row>
    <row r="809" spans="1:8" x14ac:dyDescent="0.25">
      <c r="A809" s="287">
        <v>46140</v>
      </c>
      <c r="B809" s="261" t="s">
        <v>36</v>
      </c>
      <c r="C809" s="24" t="s">
        <v>6</v>
      </c>
      <c r="D809" s="265">
        <v>5</v>
      </c>
      <c r="E809" s="143" t="s">
        <v>271</v>
      </c>
      <c r="F809" s="15">
        <v>8</v>
      </c>
      <c r="G809" s="16">
        <v>112</v>
      </c>
      <c r="H809" s="4" t="s">
        <v>141</v>
      </c>
    </row>
    <row r="810" spans="1:8" x14ac:dyDescent="0.25">
      <c r="A810" s="288"/>
      <c r="B810" s="268"/>
      <c r="C810" s="24" t="s">
        <v>6</v>
      </c>
      <c r="D810" s="263"/>
      <c r="E810" s="98" t="s">
        <v>26</v>
      </c>
      <c r="F810" s="15">
        <v>8</v>
      </c>
      <c r="G810" s="16"/>
      <c r="H810" s="4"/>
    </row>
    <row r="811" spans="1:8" x14ac:dyDescent="0.25">
      <c r="A811" s="288"/>
      <c r="B811" s="268"/>
      <c r="C811" s="24" t="s">
        <v>6</v>
      </c>
      <c r="D811" s="264"/>
      <c r="E811" s="98" t="s">
        <v>93</v>
      </c>
      <c r="F811" s="15">
        <v>2</v>
      </c>
      <c r="G811" s="16"/>
      <c r="H811" s="4"/>
    </row>
    <row r="812" spans="1:8" x14ac:dyDescent="0.25">
      <c r="A812" s="288"/>
      <c r="B812" s="268"/>
      <c r="C812" s="24" t="s">
        <v>13</v>
      </c>
      <c r="D812" s="265">
        <v>5</v>
      </c>
      <c r="E812" s="143" t="s">
        <v>271</v>
      </c>
      <c r="F812" s="15">
        <v>38</v>
      </c>
      <c r="G812" s="16"/>
      <c r="H812" s="4"/>
    </row>
    <row r="813" spans="1:8" x14ac:dyDescent="0.25">
      <c r="A813" s="288"/>
      <c r="B813" s="268"/>
      <c r="C813" s="24" t="s">
        <v>13</v>
      </c>
      <c r="D813" s="263"/>
      <c r="E813" s="98" t="s">
        <v>202</v>
      </c>
      <c r="F813" s="15">
        <v>23</v>
      </c>
      <c r="G813" s="16"/>
      <c r="H813" s="4"/>
    </row>
    <row r="814" spans="1:8" x14ac:dyDescent="0.25">
      <c r="A814" s="288"/>
      <c r="B814" s="268"/>
      <c r="C814" s="24" t="s">
        <v>13</v>
      </c>
      <c r="D814" s="264"/>
      <c r="E814" s="98" t="s">
        <v>93</v>
      </c>
      <c r="F814" s="15">
        <v>1</v>
      </c>
      <c r="G814" s="16"/>
      <c r="H814" s="4"/>
    </row>
    <row r="815" spans="1:8" x14ac:dyDescent="0.25">
      <c r="A815" s="288"/>
      <c r="B815" s="268"/>
      <c r="C815" s="25" t="s">
        <v>13</v>
      </c>
      <c r="D815" s="248">
        <v>4</v>
      </c>
      <c r="E815" s="143" t="s">
        <v>283</v>
      </c>
      <c r="F815" s="15">
        <v>58</v>
      </c>
      <c r="G815" s="16"/>
      <c r="H815" s="4"/>
    </row>
    <row r="816" spans="1:8" x14ac:dyDescent="0.25">
      <c r="A816" s="288"/>
      <c r="B816" s="268"/>
      <c r="C816" s="24" t="s">
        <v>13</v>
      </c>
      <c r="D816" s="265">
        <v>5</v>
      </c>
      <c r="E816" s="154" t="s">
        <v>280</v>
      </c>
      <c r="F816" s="15">
        <f>17+6+8</f>
        <v>31</v>
      </c>
      <c r="G816" s="16" t="s">
        <v>167</v>
      </c>
      <c r="H816" s="4"/>
    </row>
    <row r="817" spans="1:8" x14ac:dyDescent="0.25">
      <c r="A817" s="288"/>
      <c r="B817" s="268"/>
      <c r="C817" s="24" t="s">
        <v>13</v>
      </c>
      <c r="D817" s="264"/>
      <c r="E817" s="98" t="s">
        <v>90</v>
      </c>
      <c r="F817" s="15">
        <v>4</v>
      </c>
      <c r="G817" s="16" t="s">
        <v>167</v>
      </c>
      <c r="H817" s="4"/>
    </row>
    <row r="818" spans="1:8" x14ac:dyDescent="0.25">
      <c r="A818" s="289"/>
      <c r="B818" s="269"/>
      <c r="C818" s="25" t="s">
        <v>13</v>
      </c>
      <c r="D818" s="248">
        <v>5</v>
      </c>
      <c r="E818" s="98" t="s">
        <v>110</v>
      </c>
      <c r="F818" s="15">
        <v>3.2</v>
      </c>
      <c r="G818" s="16">
        <v>113</v>
      </c>
      <c r="H818" s="4"/>
    </row>
    <row r="819" spans="1:8" x14ac:dyDescent="0.25">
      <c r="A819" s="287">
        <v>46140</v>
      </c>
      <c r="B819" s="261" t="s">
        <v>5</v>
      </c>
      <c r="C819" s="24" t="s">
        <v>13</v>
      </c>
      <c r="D819" s="265">
        <v>5</v>
      </c>
      <c r="E819" s="98" t="s">
        <v>35</v>
      </c>
      <c r="F819" s="15">
        <v>28</v>
      </c>
      <c r="G819" s="16">
        <v>111</v>
      </c>
      <c r="H819" s="4"/>
    </row>
    <row r="820" spans="1:8" x14ac:dyDescent="0.25">
      <c r="A820" s="288"/>
      <c r="B820" s="268"/>
      <c r="C820" s="24" t="s">
        <v>13</v>
      </c>
      <c r="D820" s="264"/>
      <c r="E820" s="98" t="s">
        <v>93</v>
      </c>
      <c r="F820" s="15">
        <v>4</v>
      </c>
      <c r="G820" s="16"/>
      <c r="H820" s="4"/>
    </row>
    <row r="821" spans="1:8" x14ac:dyDescent="0.25">
      <c r="A821" s="288"/>
      <c r="B821" s="268"/>
      <c r="C821" s="24" t="s">
        <v>13</v>
      </c>
      <c r="D821" s="265">
        <v>4</v>
      </c>
      <c r="E821" s="98" t="s">
        <v>73</v>
      </c>
      <c r="F821" s="15">
        <v>5</v>
      </c>
      <c r="G821" s="16">
        <v>111</v>
      </c>
      <c r="H821" s="4"/>
    </row>
    <row r="822" spans="1:8" x14ac:dyDescent="0.25">
      <c r="A822" s="288"/>
      <c r="B822" s="268"/>
      <c r="C822" s="24" t="s">
        <v>13</v>
      </c>
      <c r="D822" s="263"/>
      <c r="E822" s="98" t="s">
        <v>99</v>
      </c>
      <c r="F822" s="15">
        <v>1</v>
      </c>
      <c r="G822" s="16"/>
      <c r="H822" s="4"/>
    </row>
    <row r="823" spans="1:8" x14ac:dyDescent="0.25">
      <c r="A823" s="288"/>
      <c r="B823" s="268"/>
      <c r="C823" s="24" t="s">
        <v>13</v>
      </c>
      <c r="D823" s="263"/>
      <c r="E823" s="98" t="s">
        <v>87</v>
      </c>
      <c r="F823" s="15">
        <v>8</v>
      </c>
      <c r="G823" s="16"/>
      <c r="H823" s="4"/>
    </row>
    <row r="824" spans="1:8" x14ac:dyDescent="0.25">
      <c r="A824" s="288"/>
      <c r="B824" s="268"/>
      <c r="C824" s="24" t="s">
        <v>13</v>
      </c>
      <c r="D824" s="263"/>
      <c r="E824" s="98" t="s">
        <v>308</v>
      </c>
      <c r="F824" s="15">
        <v>14</v>
      </c>
      <c r="G824" s="16"/>
      <c r="H824" s="4"/>
    </row>
    <row r="825" spans="1:8" x14ac:dyDescent="0.25">
      <c r="A825" s="288"/>
      <c r="B825" s="268"/>
      <c r="C825" s="24" t="s">
        <v>13</v>
      </c>
      <c r="D825" s="264"/>
      <c r="E825" s="96" t="s">
        <v>206</v>
      </c>
      <c r="F825" s="15">
        <v>4</v>
      </c>
      <c r="G825" s="16"/>
      <c r="H825" s="4"/>
    </row>
    <row r="826" spans="1:8" x14ac:dyDescent="0.25">
      <c r="A826" s="288"/>
      <c r="B826" s="268"/>
      <c r="C826" s="24" t="s">
        <v>13</v>
      </c>
      <c r="D826" s="265">
        <v>3</v>
      </c>
      <c r="E826" s="98" t="s">
        <v>73</v>
      </c>
      <c r="F826" s="15">
        <v>6</v>
      </c>
      <c r="G826" s="16">
        <v>101</v>
      </c>
      <c r="H826" s="4" t="s">
        <v>136</v>
      </c>
    </row>
    <row r="827" spans="1:8" x14ac:dyDescent="0.25">
      <c r="A827" s="288"/>
      <c r="B827" s="268"/>
      <c r="C827" s="24" t="s">
        <v>13</v>
      </c>
      <c r="D827" s="263"/>
      <c r="E827" s="98" t="s">
        <v>87</v>
      </c>
      <c r="F827" s="15">
        <v>6</v>
      </c>
      <c r="G827" s="16"/>
      <c r="H827" s="4"/>
    </row>
    <row r="828" spans="1:8" x14ac:dyDescent="0.25">
      <c r="A828" s="288"/>
      <c r="B828" s="268"/>
      <c r="C828" s="24" t="s">
        <v>13</v>
      </c>
      <c r="D828" s="264"/>
      <c r="E828" s="98" t="s">
        <v>85</v>
      </c>
      <c r="F828" s="15">
        <v>8</v>
      </c>
      <c r="G828" s="16"/>
      <c r="H828" s="4"/>
    </row>
    <row r="829" spans="1:8" x14ac:dyDescent="0.25">
      <c r="A829" s="288"/>
      <c r="B829" s="268"/>
      <c r="C829" s="25" t="s">
        <v>6</v>
      </c>
      <c r="D829" s="248">
        <v>5</v>
      </c>
      <c r="E829" s="98" t="s">
        <v>256</v>
      </c>
      <c r="F829" s="15"/>
      <c r="G829" s="16"/>
      <c r="H829" s="4"/>
    </row>
    <row r="830" spans="1:8" x14ac:dyDescent="0.25">
      <c r="A830" s="288"/>
      <c r="B830" s="268"/>
      <c r="C830" s="25" t="s">
        <v>6</v>
      </c>
      <c r="D830" s="248">
        <v>3</v>
      </c>
      <c r="E830" s="96" t="s">
        <v>21</v>
      </c>
      <c r="F830" s="15"/>
      <c r="G830" s="16"/>
      <c r="H830" s="4"/>
    </row>
    <row r="831" spans="1:8" x14ac:dyDescent="0.25">
      <c r="A831" s="288"/>
      <c r="B831" s="268"/>
      <c r="C831" s="24" t="s">
        <v>6</v>
      </c>
      <c r="D831" s="265">
        <v>2</v>
      </c>
      <c r="E831" s="98" t="s">
        <v>202</v>
      </c>
      <c r="F831" s="15">
        <v>12</v>
      </c>
      <c r="G831" s="16">
        <v>114</v>
      </c>
      <c r="H831" s="4" t="s">
        <v>141</v>
      </c>
    </row>
    <row r="832" spans="1:8" x14ac:dyDescent="0.25">
      <c r="A832" s="288"/>
      <c r="B832" s="268"/>
      <c r="C832" s="24" t="s">
        <v>6</v>
      </c>
      <c r="D832" s="264"/>
      <c r="E832" s="98" t="s">
        <v>26</v>
      </c>
      <c r="F832" s="15">
        <v>12</v>
      </c>
      <c r="G832" s="16"/>
      <c r="H832" s="4"/>
    </row>
    <row r="833" spans="1:8" x14ac:dyDescent="0.25">
      <c r="A833" s="288"/>
      <c r="B833" s="268"/>
      <c r="C833" s="24" t="s">
        <v>6</v>
      </c>
      <c r="D833" s="265">
        <v>9</v>
      </c>
      <c r="E833" s="98" t="s">
        <v>58</v>
      </c>
      <c r="F833" s="15">
        <v>6</v>
      </c>
      <c r="G833" s="16" t="s">
        <v>165</v>
      </c>
      <c r="H833" s="4" t="s">
        <v>141</v>
      </c>
    </row>
    <row r="834" spans="1:8" ht="31.5" x14ac:dyDescent="0.25">
      <c r="A834" s="288"/>
      <c r="B834" s="268"/>
      <c r="C834" s="24" t="s">
        <v>6</v>
      </c>
      <c r="D834" s="264"/>
      <c r="E834" s="98" t="s">
        <v>83</v>
      </c>
      <c r="F834" s="15">
        <v>8</v>
      </c>
      <c r="G834" s="16"/>
      <c r="H834" s="4" t="s">
        <v>142</v>
      </c>
    </row>
    <row r="835" spans="1:8" x14ac:dyDescent="0.25">
      <c r="A835" s="288"/>
      <c r="B835" s="268"/>
      <c r="C835" s="25" t="s">
        <v>13</v>
      </c>
      <c r="D835" s="248">
        <v>3</v>
      </c>
      <c r="E835" s="98" t="s">
        <v>51</v>
      </c>
      <c r="F835" s="15"/>
      <c r="G835" s="16"/>
      <c r="H835" s="4"/>
    </row>
    <row r="836" spans="1:8" x14ac:dyDescent="0.25">
      <c r="A836" s="289"/>
      <c r="B836" s="269"/>
      <c r="C836" s="25" t="s">
        <v>13</v>
      </c>
      <c r="D836" s="248">
        <v>2</v>
      </c>
      <c r="E836" s="98" t="s">
        <v>229</v>
      </c>
      <c r="F836" s="15"/>
      <c r="G836" s="16"/>
      <c r="H836" s="4"/>
    </row>
    <row r="837" spans="1:8" x14ac:dyDescent="0.25">
      <c r="A837" s="287">
        <v>46141</v>
      </c>
      <c r="B837" s="261" t="s">
        <v>36</v>
      </c>
      <c r="C837" s="25" t="s">
        <v>6</v>
      </c>
      <c r="D837" s="265">
        <v>6</v>
      </c>
      <c r="E837" s="98" t="s">
        <v>58</v>
      </c>
      <c r="F837" s="15">
        <v>31</v>
      </c>
      <c r="G837" s="16" t="s">
        <v>165</v>
      </c>
      <c r="H837" s="4" t="s">
        <v>141</v>
      </c>
    </row>
    <row r="838" spans="1:8" x14ac:dyDescent="0.25">
      <c r="A838" s="288"/>
      <c r="B838" s="268"/>
      <c r="C838" s="25" t="s">
        <v>6</v>
      </c>
      <c r="D838" s="263"/>
      <c r="E838" s="98" t="s">
        <v>83</v>
      </c>
      <c r="F838" s="15">
        <v>12</v>
      </c>
      <c r="G838" s="16"/>
      <c r="H838" s="4" t="s">
        <v>143</v>
      </c>
    </row>
    <row r="839" spans="1:8" x14ac:dyDescent="0.25">
      <c r="A839" s="288"/>
      <c r="B839" s="268"/>
      <c r="C839" s="25" t="s">
        <v>6</v>
      </c>
      <c r="D839" s="263"/>
      <c r="E839" s="98" t="s">
        <v>85</v>
      </c>
      <c r="F839" s="15">
        <v>22</v>
      </c>
      <c r="G839" s="16"/>
      <c r="H839" s="4"/>
    </row>
    <row r="840" spans="1:8" x14ac:dyDescent="0.25">
      <c r="A840" s="288"/>
      <c r="B840" s="268"/>
      <c r="C840" s="25" t="s">
        <v>6</v>
      </c>
      <c r="D840" s="264"/>
      <c r="E840" s="96" t="s">
        <v>206</v>
      </c>
      <c r="F840" s="15">
        <v>14</v>
      </c>
      <c r="G840" s="16"/>
      <c r="H840" s="4"/>
    </row>
    <row r="841" spans="1:8" x14ac:dyDescent="0.25">
      <c r="A841" s="288"/>
      <c r="B841" s="268"/>
      <c r="C841" s="25" t="s">
        <v>13</v>
      </c>
      <c r="D841" s="248">
        <v>2</v>
      </c>
      <c r="E841" s="143" t="s">
        <v>283</v>
      </c>
      <c r="F841" s="15">
        <v>43</v>
      </c>
      <c r="G841" s="16" t="s">
        <v>178</v>
      </c>
      <c r="H841" s="4"/>
    </row>
    <row r="842" spans="1:8" ht="47.25" x14ac:dyDescent="0.25">
      <c r="A842" s="288"/>
      <c r="B842" s="268"/>
      <c r="C842" s="25" t="s">
        <v>13</v>
      </c>
      <c r="D842" s="248">
        <v>3</v>
      </c>
      <c r="E842" s="154" t="s">
        <v>280</v>
      </c>
      <c r="F842" s="15">
        <v>21</v>
      </c>
      <c r="G842" s="16">
        <v>116</v>
      </c>
      <c r="H842" s="4" t="s">
        <v>139</v>
      </c>
    </row>
    <row r="843" spans="1:8" ht="47.25" x14ac:dyDescent="0.25">
      <c r="A843" s="288"/>
      <c r="B843" s="268"/>
      <c r="C843" s="25" t="s">
        <v>6</v>
      </c>
      <c r="D843" s="248">
        <v>3</v>
      </c>
      <c r="E843" s="154" t="s">
        <v>280</v>
      </c>
      <c r="F843" s="15">
        <v>7</v>
      </c>
      <c r="G843" s="16"/>
      <c r="H843" s="4" t="s">
        <v>139</v>
      </c>
    </row>
    <row r="844" spans="1:8" x14ac:dyDescent="0.25">
      <c r="A844" s="288"/>
      <c r="B844" s="268"/>
      <c r="C844" s="25" t="s">
        <v>13</v>
      </c>
      <c r="D844" s="248">
        <v>2</v>
      </c>
      <c r="E844" s="96" t="s">
        <v>21</v>
      </c>
      <c r="F844" s="15">
        <v>9</v>
      </c>
      <c r="G844" s="16">
        <v>101</v>
      </c>
      <c r="H844" s="4"/>
    </row>
    <row r="845" spans="1:8" x14ac:dyDescent="0.25">
      <c r="A845" s="288"/>
      <c r="B845" s="268"/>
      <c r="C845" s="25" t="s">
        <v>13</v>
      </c>
      <c r="D845" s="265">
        <v>4</v>
      </c>
      <c r="E845" s="143" t="s">
        <v>271</v>
      </c>
      <c r="F845" s="15">
        <v>8.5</v>
      </c>
      <c r="G845" s="16">
        <v>113</v>
      </c>
      <c r="H845" s="4"/>
    </row>
    <row r="846" spans="1:8" x14ac:dyDescent="0.25">
      <c r="A846" s="288"/>
      <c r="B846" s="268"/>
      <c r="C846" s="25" t="s">
        <v>13</v>
      </c>
      <c r="D846" s="263"/>
      <c r="E846" s="155" t="s">
        <v>200</v>
      </c>
      <c r="F846" s="15">
        <v>13</v>
      </c>
      <c r="G846" s="16"/>
      <c r="H846" s="4"/>
    </row>
    <row r="847" spans="1:8" x14ac:dyDescent="0.25">
      <c r="A847" s="288"/>
      <c r="B847" s="268"/>
      <c r="C847" s="25" t="s">
        <v>13</v>
      </c>
      <c r="D847" s="263"/>
      <c r="E847" s="98" t="s">
        <v>26</v>
      </c>
      <c r="F847" s="15">
        <v>21.5</v>
      </c>
      <c r="G847" s="16"/>
      <c r="H847" s="4"/>
    </row>
    <row r="848" spans="1:8" x14ac:dyDescent="0.25">
      <c r="A848" s="288"/>
      <c r="B848" s="268"/>
      <c r="C848" s="25" t="s">
        <v>13</v>
      </c>
      <c r="D848" s="264"/>
      <c r="E848" s="98" t="s">
        <v>93</v>
      </c>
      <c r="F848" s="15">
        <v>2</v>
      </c>
      <c r="G848" s="16"/>
      <c r="H848" s="4"/>
    </row>
    <row r="849" spans="1:8" x14ac:dyDescent="0.25">
      <c r="A849" s="288"/>
      <c r="B849" s="268"/>
      <c r="C849" s="25" t="s">
        <v>13</v>
      </c>
      <c r="D849" s="265">
        <v>3</v>
      </c>
      <c r="E849" s="143" t="s">
        <v>271</v>
      </c>
      <c r="F849" s="15">
        <v>8</v>
      </c>
      <c r="G849" s="16" t="s">
        <v>179</v>
      </c>
      <c r="H849" s="4"/>
    </row>
    <row r="850" spans="1:8" x14ac:dyDescent="0.25">
      <c r="A850" s="288"/>
      <c r="B850" s="268"/>
      <c r="C850" s="25" t="s">
        <v>13</v>
      </c>
      <c r="D850" s="263"/>
      <c r="E850" s="155" t="s">
        <v>200</v>
      </c>
      <c r="F850" s="15">
        <v>15</v>
      </c>
      <c r="G850" s="16"/>
      <c r="H850" s="4"/>
    </row>
    <row r="851" spans="1:8" x14ac:dyDescent="0.25">
      <c r="A851" s="289"/>
      <c r="B851" s="269"/>
      <c r="C851" s="25" t="s">
        <v>13</v>
      </c>
      <c r="D851" s="264"/>
      <c r="E851" s="98" t="s">
        <v>26</v>
      </c>
      <c r="F851" s="15">
        <v>23</v>
      </c>
      <c r="G851" s="16"/>
      <c r="H851" s="4"/>
    </row>
    <row r="852" spans="1:8" x14ac:dyDescent="0.25">
      <c r="A852" s="287">
        <v>46141</v>
      </c>
      <c r="B852" s="261" t="s">
        <v>5</v>
      </c>
      <c r="C852" s="25" t="s">
        <v>6</v>
      </c>
      <c r="D852" s="248">
        <v>5</v>
      </c>
      <c r="E852" s="98" t="s">
        <v>35</v>
      </c>
      <c r="F852" s="15">
        <v>17</v>
      </c>
      <c r="G852" s="16" t="s">
        <v>172</v>
      </c>
      <c r="H852" s="4"/>
    </row>
    <row r="853" spans="1:8" x14ac:dyDescent="0.25">
      <c r="A853" s="288"/>
      <c r="B853" s="268"/>
      <c r="C853" s="25" t="s">
        <v>6</v>
      </c>
      <c r="D853" s="248"/>
      <c r="E853" s="98" t="s">
        <v>93</v>
      </c>
      <c r="F853" s="15">
        <v>4</v>
      </c>
      <c r="G853" s="16"/>
      <c r="H853" s="4"/>
    </row>
    <row r="854" spans="1:8" x14ac:dyDescent="0.25">
      <c r="A854" s="288"/>
      <c r="B854" s="268"/>
      <c r="C854" s="25" t="s">
        <v>13</v>
      </c>
      <c r="D854" s="248">
        <v>5</v>
      </c>
      <c r="E854" s="98" t="s">
        <v>83</v>
      </c>
      <c r="F854" s="15">
        <v>10</v>
      </c>
      <c r="G854" s="16">
        <v>101</v>
      </c>
      <c r="H854" s="4"/>
    </row>
    <row r="855" spans="1:8" x14ac:dyDescent="0.25">
      <c r="A855" s="288"/>
      <c r="B855" s="268"/>
      <c r="C855" s="25" t="s">
        <v>13</v>
      </c>
      <c r="D855" s="248"/>
      <c r="E855" s="98" t="s">
        <v>73</v>
      </c>
      <c r="F855" s="15">
        <v>8</v>
      </c>
      <c r="G855" s="16"/>
      <c r="H855" s="4"/>
    </row>
    <row r="856" spans="1:8" x14ac:dyDescent="0.25">
      <c r="A856" s="288"/>
      <c r="B856" s="268"/>
      <c r="C856" s="25" t="s">
        <v>13</v>
      </c>
      <c r="D856" s="248">
        <v>4</v>
      </c>
      <c r="E856" s="98" t="s">
        <v>144</v>
      </c>
      <c r="F856" s="15">
        <v>15</v>
      </c>
      <c r="G856" s="16" t="s">
        <v>75</v>
      </c>
      <c r="H856" s="4"/>
    </row>
    <row r="857" spans="1:8" x14ac:dyDescent="0.25">
      <c r="A857" s="288"/>
      <c r="B857" s="268"/>
      <c r="C857" s="25" t="s">
        <v>6</v>
      </c>
      <c r="D857" s="248">
        <v>8</v>
      </c>
      <c r="E857" s="98" t="s">
        <v>58</v>
      </c>
      <c r="F857" s="15">
        <v>22</v>
      </c>
      <c r="G857" s="16" t="s">
        <v>165</v>
      </c>
      <c r="H857" s="4" t="s">
        <v>141</v>
      </c>
    </row>
    <row r="858" spans="1:8" x14ac:dyDescent="0.25">
      <c r="A858" s="288"/>
      <c r="B858" s="268"/>
      <c r="C858" s="25" t="s">
        <v>6</v>
      </c>
      <c r="D858" s="248"/>
      <c r="E858" s="98" t="s">
        <v>83</v>
      </c>
      <c r="F858" s="15">
        <v>16</v>
      </c>
      <c r="G858" s="16"/>
      <c r="H858" s="4"/>
    </row>
    <row r="859" spans="1:8" x14ac:dyDescent="0.25">
      <c r="A859" s="288"/>
      <c r="B859" s="268"/>
      <c r="C859" s="25" t="s">
        <v>6</v>
      </c>
      <c r="D859" s="248">
        <v>5</v>
      </c>
      <c r="E859" s="98" t="s">
        <v>256</v>
      </c>
      <c r="F859" s="15"/>
      <c r="G859" s="16"/>
      <c r="H859" s="4"/>
    </row>
    <row r="860" spans="1:8" x14ac:dyDescent="0.25">
      <c r="A860" s="288"/>
      <c r="B860" s="268"/>
      <c r="C860" s="25" t="s">
        <v>13</v>
      </c>
      <c r="D860" s="248">
        <v>2</v>
      </c>
      <c r="E860" s="98" t="s">
        <v>256</v>
      </c>
      <c r="F860" s="15"/>
      <c r="G860" s="16"/>
      <c r="H860" s="4"/>
    </row>
    <row r="861" spans="1:8" x14ac:dyDescent="0.25">
      <c r="A861" s="288"/>
      <c r="B861" s="268"/>
      <c r="C861" s="25" t="s">
        <v>6</v>
      </c>
      <c r="D861" s="248">
        <v>2</v>
      </c>
      <c r="E861" s="96" t="s">
        <v>356</v>
      </c>
      <c r="F861" s="15"/>
      <c r="G861" s="16"/>
      <c r="H861" s="4"/>
    </row>
    <row r="862" spans="1:8" x14ac:dyDescent="0.25">
      <c r="A862" s="288"/>
      <c r="B862" s="268"/>
      <c r="C862" s="25" t="s">
        <v>6</v>
      </c>
      <c r="D862" s="248">
        <v>3</v>
      </c>
      <c r="E862" s="98" t="s">
        <v>51</v>
      </c>
      <c r="F862" s="15"/>
      <c r="G862" s="16"/>
      <c r="H862" s="4"/>
    </row>
    <row r="863" spans="1:8" x14ac:dyDescent="0.25">
      <c r="A863" s="289"/>
      <c r="B863" s="269"/>
      <c r="C863" s="25" t="s">
        <v>6</v>
      </c>
      <c r="D863" s="248">
        <v>2</v>
      </c>
      <c r="E863" s="98" t="s">
        <v>229</v>
      </c>
      <c r="F863" s="15"/>
      <c r="G863" s="16"/>
      <c r="H863" s="4"/>
    </row>
    <row r="864" spans="1:8" x14ac:dyDescent="0.25">
      <c r="A864" s="287">
        <v>46142</v>
      </c>
      <c r="B864" s="261" t="s">
        <v>36</v>
      </c>
      <c r="C864" s="25" t="s">
        <v>13</v>
      </c>
      <c r="D864" s="265">
        <v>4</v>
      </c>
      <c r="E864" s="98" t="s">
        <v>97</v>
      </c>
      <c r="F864" s="15">
        <v>1</v>
      </c>
      <c r="G864" s="16" t="s">
        <v>179</v>
      </c>
      <c r="H864" s="4"/>
    </row>
    <row r="865" spans="1:8" x14ac:dyDescent="0.25">
      <c r="A865" s="288"/>
      <c r="B865" s="268"/>
      <c r="C865" s="25" t="s">
        <v>13</v>
      </c>
      <c r="D865" s="263"/>
      <c r="E865" s="155" t="s">
        <v>200</v>
      </c>
      <c r="F865" s="15">
        <v>8</v>
      </c>
      <c r="G865" s="16" t="s">
        <v>176</v>
      </c>
      <c r="H865" s="4"/>
    </row>
    <row r="866" spans="1:8" x14ac:dyDescent="0.25">
      <c r="A866" s="288"/>
      <c r="B866" s="268"/>
      <c r="C866" s="25" t="s">
        <v>13</v>
      </c>
      <c r="D866" s="263"/>
      <c r="E866" s="98" t="s">
        <v>26</v>
      </c>
      <c r="F866" s="15">
        <v>8</v>
      </c>
      <c r="G866" s="16"/>
      <c r="H866" s="4"/>
    </row>
    <row r="867" spans="1:8" x14ac:dyDescent="0.25">
      <c r="A867" s="288"/>
      <c r="B867" s="268"/>
      <c r="C867" s="25" t="s">
        <v>13</v>
      </c>
      <c r="D867" s="264"/>
      <c r="E867" s="98" t="s">
        <v>97</v>
      </c>
      <c r="F867" s="15">
        <v>1</v>
      </c>
      <c r="G867" s="16"/>
      <c r="H867" s="4"/>
    </row>
    <row r="868" spans="1:8" x14ac:dyDescent="0.25">
      <c r="A868" s="288"/>
      <c r="B868" s="268"/>
      <c r="C868" s="25" t="s">
        <v>13</v>
      </c>
      <c r="D868" s="265">
        <v>8</v>
      </c>
      <c r="E868" s="98" t="s">
        <v>85</v>
      </c>
      <c r="F868" s="15">
        <v>13</v>
      </c>
      <c r="G868" s="16" t="s">
        <v>165</v>
      </c>
      <c r="H868" s="4" t="s">
        <v>143</v>
      </c>
    </row>
    <row r="869" spans="1:8" x14ac:dyDescent="0.25">
      <c r="A869" s="288"/>
      <c r="B869" s="268"/>
      <c r="C869" s="25" t="s">
        <v>13</v>
      </c>
      <c r="D869" s="263"/>
      <c r="E869" s="98" t="s">
        <v>78</v>
      </c>
      <c r="F869" s="15">
        <v>27</v>
      </c>
      <c r="G869" s="16"/>
      <c r="H869" s="4" t="s">
        <v>145</v>
      </c>
    </row>
    <row r="870" spans="1:8" x14ac:dyDescent="0.25">
      <c r="A870" s="288"/>
      <c r="B870" s="268"/>
      <c r="C870" s="25" t="s">
        <v>13</v>
      </c>
      <c r="D870" s="263"/>
      <c r="E870" s="96" t="s">
        <v>206</v>
      </c>
      <c r="F870" s="15">
        <v>9</v>
      </c>
      <c r="G870" s="16"/>
      <c r="H870" s="4"/>
    </row>
    <row r="871" spans="1:8" x14ac:dyDescent="0.25">
      <c r="A871" s="288"/>
      <c r="B871" s="268"/>
      <c r="C871" s="25" t="s">
        <v>13</v>
      </c>
      <c r="D871" s="263"/>
      <c r="E871" s="143" t="s">
        <v>283</v>
      </c>
      <c r="F871" s="15">
        <v>10</v>
      </c>
      <c r="G871" s="16"/>
      <c r="H871" s="4"/>
    </row>
    <row r="872" spans="1:8" x14ac:dyDescent="0.25">
      <c r="A872" s="288"/>
      <c r="B872" s="268"/>
      <c r="C872" s="25" t="s">
        <v>13</v>
      </c>
      <c r="D872" s="263"/>
      <c r="E872" s="143" t="s">
        <v>208</v>
      </c>
      <c r="F872" s="15">
        <v>10</v>
      </c>
      <c r="G872" s="16"/>
      <c r="H872" s="4"/>
    </row>
    <row r="873" spans="1:8" x14ac:dyDescent="0.25">
      <c r="A873" s="288"/>
      <c r="B873" s="268"/>
      <c r="C873" s="25" t="s">
        <v>13</v>
      </c>
      <c r="D873" s="263"/>
      <c r="E873" s="96" t="s">
        <v>309</v>
      </c>
      <c r="F873" s="15">
        <v>10</v>
      </c>
      <c r="G873" s="16"/>
      <c r="H873" s="4"/>
    </row>
    <row r="874" spans="1:8" x14ac:dyDescent="0.25">
      <c r="A874" s="288"/>
      <c r="B874" s="268"/>
      <c r="C874" s="25" t="s">
        <v>13</v>
      </c>
      <c r="D874" s="263"/>
      <c r="E874" s="98" t="s">
        <v>71</v>
      </c>
      <c r="F874" s="15">
        <v>9</v>
      </c>
      <c r="G874" s="16"/>
      <c r="H874" s="4"/>
    </row>
    <row r="875" spans="1:8" x14ac:dyDescent="0.25">
      <c r="A875" s="288"/>
      <c r="B875" s="268"/>
      <c r="C875" s="25" t="s">
        <v>13</v>
      </c>
      <c r="D875" s="264"/>
      <c r="E875" s="98" t="s">
        <v>78</v>
      </c>
      <c r="F875" s="15">
        <v>9</v>
      </c>
      <c r="G875" s="16"/>
      <c r="H875" s="4"/>
    </row>
    <row r="876" spans="1:8" x14ac:dyDescent="0.25">
      <c r="A876" s="288"/>
      <c r="B876" s="268"/>
      <c r="C876" s="25" t="s">
        <v>13</v>
      </c>
      <c r="D876" s="265">
        <v>6</v>
      </c>
      <c r="E876" s="143" t="s">
        <v>271</v>
      </c>
      <c r="F876" s="15">
        <v>29</v>
      </c>
      <c r="G876" s="16">
        <v>113</v>
      </c>
      <c r="H876" s="4" t="s">
        <v>145</v>
      </c>
    </row>
    <row r="877" spans="1:8" x14ac:dyDescent="0.25">
      <c r="A877" s="288"/>
      <c r="B877" s="268"/>
      <c r="C877" s="25" t="s">
        <v>13</v>
      </c>
      <c r="D877" s="263"/>
      <c r="E877" s="98" t="s">
        <v>26</v>
      </c>
      <c r="F877" s="15">
        <v>29</v>
      </c>
      <c r="G877" s="16"/>
      <c r="H877" s="4"/>
    </row>
    <row r="878" spans="1:8" x14ac:dyDescent="0.25">
      <c r="A878" s="288"/>
      <c r="B878" s="268"/>
      <c r="C878" s="25" t="s">
        <v>13</v>
      </c>
      <c r="D878" s="263"/>
      <c r="E878" s="98" t="s">
        <v>97</v>
      </c>
      <c r="F878" s="15">
        <v>2</v>
      </c>
      <c r="G878" s="16"/>
      <c r="H878" s="4"/>
    </row>
    <row r="879" spans="1:8" x14ac:dyDescent="0.25">
      <c r="A879" s="288"/>
      <c r="B879" s="268"/>
      <c r="C879" s="25" t="s">
        <v>13</v>
      </c>
      <c r="D879" s="264"/>
      <c r="E879" s="98" t="s">
        <v>94</v>
      </c>
      <c r="F879" s="15">
        <v>1</v>
      </c>
      <c r="G879" s="16"/>
      <c r="H879" s="4"/>
    </row>
    <row r="880" spans="1:8" x14ac:dyDescent="0.25">
      <c r="A880" s="288"/>
      <c r="B880" s="268"/>
      <c r="C880" s="25" t="s">
        <v>13</v>
      </c>
      <c r="D880" s="248">
        <v>4</v>
      </c>
      <c r="E880" s="98" t="s">
        <v>256</v>
      </c>
      <c r="F880" s="15"/>
      <c r="G880" s="16">
        <v>112</v>
      </c>
      <c r="H880" s="4"/>
    </row>
    <row r="881" spans="1:8" x14ac:dyDescent="0.25">
      <c r="A881" s="289"/>
      <c r="B881" s="269"/>
      <c r="C881" s="25" t="s">
        <v>13</v>
      </c>
      <c r="D881" s="248">
        <v>2</v>
      </c>
      <c r="E881" s="98" t="s">
        <v>218</v>
      </c>
      <c r="F881" s="15"/>
      <c r="G881" s="16"/>
      <c r="H881" s="4"/>
    </row>
    <row r="882" spans="1:8" x14ac:dyDescent="0.25">
      <c r="A882" s="287">
        <v>46142</v>
      </c>
      <c r="B882" s="261" t="s">
        <v>5</v>
      </c>
      <c r="C882" s="25" t="s">
        <v>6</v>
      </c>
      <c r="D882" s="265">
        <v>7</v>
      </c>
      <c r="E882" s="98" t="s">
        <v>58</v>
      </c>
      <c r="F882" s="15">
        <v>12</v>
      </c>
      <c r="G882" s="16" t="s">
        <v>165</v>
      </c>
      <c r="H882" s="4" t="s">
        <v>146</v>
      </c>
    </row>
    <row r="883" spans="1:8" x14ac:dyDescent="0.25">
      <c r="A883" s="288"/>
      <c r="B883" s="268"/>
      <c r="C883" s="25" t="s">
        <v>6</v>
      </c>
      <c r="D883" s="264"/>
      <c r="E883" s="98" t="s">
        <v>83</v>
      </c>
      <c r="F883" s="15">
        <v>6</v>
      </c>
      <c r="G883" s="16"/>
      <c r="H883" s="4"/>
    </row>
    <row r="884" spans="1:8" x14ac:dyDescent="0.25">
      <c r="A884" s="288"/>
      <c r="B884" s="268"/>
      <c r="C884" s="25" t="s">
        <v>6</v>
      </c>
      <c r="D884" s="265">
        <v>10</v>
      </c>
      <c r="E884" s="98" t="s">
        <v>147</v>
      </c>
      <c r="F884" s="15">
        <v>20</v>
      </c>
      <c r="G884" s="311">
        <v>103</v>
      </c>
      <c r="H884" s="4" t="s">
        <v>146</v>
      </c>
    </row>
    <row r="885" spans="1:8" x14ac:dyDescent="0.25">
      <c r="A885" s="288"/>
      <c r="B885" s="268"/>
      <c r="C885" s="25" t="s">
        <v>6</v>
      </c>
      <c r="D885" s="263"/>
      <c r="E885" s="98" t="s">
        <v>79</v>
      </c>
      <c r="F885" s="15">
        <v>6</v>
      </c>
      <c r="G885" s="312"/>
      <c r="H885" s="4"/>
    </row>
    <row r="886" spans="1:8" x14ac:dyDescent="0.25">
      <c r="A886" s="288"/>
      <c r="B886" s="268"/>
      <c r="C886" s="25" t="s">
        <v>6</v>
      </c>
      <c r="D886" s="264"/>
      <c r="E886" s="98" t="s">
        <v>96</v>
      </c>
      <c r="F886" s="15">
        <v>6</v>
      </c>
      <c r="G886" s="312"/>
      <c r="H886" s="4"/>
    </row>
    <row r="887" spans="1:8" x14ac:dyDescent="0.25">
      <c r="A887" s="288"/>
      <c r="B887" s="268"/>
      <c r="C887" s="25" t="s">
        <v>6</v>
      </c>
      <c r="D887" s="248">
        <v>4</v>
      </c>
      <c r="E887" s="98" t="s">
        <v>35</v>
      </c>
      <c r="F887" s="15">
        <v>10</v>
      </c>
      <c r="G887" s="312"/>
      <c r="H887" s="4"/>
    </row>
    <row r="888" spans="1:8" x14ac:dyDescent="0.25">
      <c r="A888" s="288"/>
      <c r="B888" s="268"/>
      <c r="C888" s="25" t="s">
        <v>6</v>
      </c>
      <c r="D888" s="248">
        <v>5</v>
      </c>
      <c r="E888" s="98" t="s">
        <v>256</v>
      </c>
      <c r="F888" s="15"/>
      <c r="G888" s="312"/>
      <c r="H888" s="4"/>
    </row>
    <row r="889" spans="1:8" x14ac:dyDescent="0.25">
      <c r="A889" s="288"/>
      <c r="B889" s="268"/>
      <c r="C889" s="25" t="s">
        <v>6</v>
      </c>
      <c r="D889" s="248">
        <v>2</v>
      </c>
      <c r="E889" s="96" t="s">
        <v>21</v>
      </c>
      <c r="F889" s="15"/>
      <c r="G889" s="312"/>
      <c r="H889" s="4"/>
    </row>
    <row r="890" spans="1:8" x14ac:dyDescent="0.25">
      <c r="A890" s="288"/>
      <c r="B890" s="268"/>
      <c r="C890" s="25" t="s">
        <v>6</v>
      </c>
      <c r="D890" s="248">
        <v>2</v>
      </c>
      <c r="E890" s="154" t="s">
        <v>280</v>
      </c>
      <c r="F890" s="15"/>
      <c r="G890" s="313"/>
      <c r="H890" s="4"/>
    </row>
    <row r="891" spans="1:8" x14ac:dyDescent="0.25">
      <c r="A891" s="288"/>
      <c r="B891" s="268"/>
      <c r="C891" s="25" t="s">
        <v>13</v>
      </c>
      <c r="D891" s="248">
        <v>2</v>
      </c>
      <c r="E891" s="98" t="s">
        <v>256</v>
      </c>
      <c r="F891" s="15"/>
      <c r="G891" s="16"/>
      <c r="H891" s="4"/>
    </row>
    <row r="892" spans="1:8" x14ac:dyDescent="0.25">
      <c r="A892" s="288"/>
      <c r="B892" s="268"/>
      <c r="C892" s="25" t="s">
        <v>13</v>
      </c>
      <c r="D892" s="248">
        <v>2</v>
      </c>
      <c r="E892" s="98" t="s">
        <v>51</v>
      </c>
      <c r="F892" s="15"/>
      <c r="G892" s="16"/>
      <c r="H892" s="4"/>
    </row>
    <row r="893" spans="1:8" x14ac:dyDescent="0.25">
      <c r="A893" s="289"/>
      <c r="B893" s="269"/>
      <c r="C893" s="25" t="s">
        <v>13</v>
      </c>
      <c r="D893" s="248">
        <v>3</v>
      </c>
      <c r="E893" s="98" t="s">
        <v>229</v>
      </c>
      <c r="F893" s="15"/>
      <c r="G893" s="16"/>
      <c r="H893" s="4"/>
    </row>
    <row r="894" spans="1:8" x14ac:dyDescent="0.25">
      <c r="A894" s="287">
        <v>46143</v>
      </c>
      <c r="B894" s="261" t="s">
        <v>36</v>
      </c>
      <c r="C894" s="25" t="s">
        <v>13</v>
      </c>
      <c r="D894" s="265">
        <v>6</v>
      </c>
      <c r="E894" s="143" t="s">
        <v>271</v>
      </c>
      <c r="F894" s="15">
        <v>9</v>
      </c>
      <c r="G894" s="16">
        <v>113</v>
      </c>
      <c r="H894" s="4" t="s">
        <v>146</v>
      </c>
    </row>
    <row r="895" spans="1:8" x14ac:dyDescent="0.25">
      <c r="A895" s="288"/>
      <c r="B895" s="268"/>
      <c r="C895" s="25" t="s">
        <v>13</v>
      </c>
      <c r="D895" s="263"/>
      <c r="E895" s="98" t="s">
        <v>26</v>
      </c>
      <c r="F895" s="15">
        <v>9</v>
      </c>
      <c r="G895" s="16">
        <v>114</v>
      </c>
      <c r="H895" s="4"/>
    </row>
    <row r="896" spans="1:8" x14ac:dyDescent="0.25">
      <c r="A896" s="288"/>
      <c r="B896" s="268"/>
      <c r="C896" s="25" t="s">
        <v>13</v>
      </c>
      <c r="D896" s="263"/>
      <c r="E896" s="98" t="s">
        <v>97</v>
      </c>
      <c r="F896" s="15">
        <v>1</v>
      </c>
      <c r="G896" s="16">
        <v>115</v>
      </c>
      <c r="H896" s="4"/>
    </row>
    <row r="897" spans="1:8" x14ac:dyDescent="0.25">
      <c r="A897" s="288"/>
      <c r="B897" s="268"/>
      <c r="C897" s="25" t="s">
        <v>13</v>
      </c>
      <c r="D897" s="264"/>
      <c r="E897" s="98" t="s">
        <v>94</v>
      </c>
      <c r="F897" s="15">
        <v>1</v>
      </c>
      <c r="G897" s="16">
        <v>116</v>
      </c>
      <c r="H897" s="4"/>
    </row>
    <row r="898" spans="1:8" x14ac:dyDescent="0.25">
      <c r="A898" s="288"/>
      <c r="B898" s="268"/>
      <c r="C898" s="25" t="s">
        <v>13</v>
      </c>
      <c r="D898" s="248">
        <v>3</v>
      </c>
      <c r="E898" s="154" t="s">
        <v>280</v>
      </c>
      <c r="F898" s="15"/>
      <c r="G898" s="16"/>
      <c r="H898" s="4"/>
    </row>
    <row r="899" spans="1:8" x14ac:dyDescent="0.25">
      <c r="A899" s="288"/>
      <c r="B899" s="268"/>
      <c r="C899" s="25" t="s">
        <v>13</v>
      </c>
      <c r="D899" s="248">
        <v>4</v>
      </c>
      <c r="E899" s="143" t="s">
        <v>256</v>
      </c>
      <c r="F899" s="15">
        <v>2</v>
      </c>
      <c r="G899" s="16">
        <v>112</v>
      </c>
      <c r="H899" s="4"/>
    </row>
    <row r="900" spans="1:8" x14ac:dyDescent="0.25">
      <c r="A900" s="288"/>
      <c r="B900" s="268"/>
      <c r="C900" s="25" t="s">
        <v>6</v>
      </c>
      <c r="D900" s="248">
        <v>5</v>
      </c>
      <c r="E900" s="96" t="s">
        <v>356</v>
      </c>
      <c r="F900" s="15">
        <v>5</v>
      </c>
      <c r="G900" s="16">
        <v>117</v>
      </c>
      <c r="H900" s="4"/>
    </row>
    <row r="901" spans="1:8" x14ac:dyDescent="0.25">
      <c r="A901" s="288"/>
      <c r="B901" s="268"/>
      <c r="C901" s="25" t="s">
        <v>13</v>
      </c>
      <c r="D901" s="265">
        <v>6</v>
      </c>
      <c r="E901" s="143" t="s">
        <v>223</v>
      </c>
      <c r="F901" s="15">
        <v>7</v>
      </c>
      <c r="G901" s="16"/>
      <c r="H901" s="4" t="s">
        <v>146</v>
      </c>
    </row>
    <row r="902" spans="1:8" x14ac:dyDescent="0.25">
      <c r="A902" s="288"/>
      <c r="B902" s="268"/>
      <c r="C902" s="25" t="s">
        <v>13</v>
      </c>
      <c r="D902" s="263"/>
      <c r="E902" s="143" t="s">
        <v>78</v>
      </c>
      <c r="F902" s="15">
        <v>9</v>
      </c>
      <c r="G902" s="16">
        <v>116</v>
      </c>
      <c r="H902" s="4"/>
    </row>
    <row r="903" spans="1:8" x14ac:dyDescent="0.25">
      <c r="A903" s="288"/>
      <c r="B903" s="268"/>
      <c r="C903" s="25" t="s">
        <v>13</v>
      </c>
      <c r="D903" s="263"/>
      <c r="E903" s="96" t="s">
        <v>206</v>
      </c>
      <c r="F903" s="15">
        <v>3</v>
      </c>
      <c r="G903" s="16"/>
      <c r="H903" s="4"/>
    </row>
    <row r="904" spans="1:8" x14ac:dyDescent="0.25">
      <c r="A904" s="288"/>
      <c r="B904" s="268"/>
      <c r="C904" s="25" t="s">
        <v>13</v>
      </c>
      <c r="D904" s="263"/>
      <c r="E904" s="98" t="s">
        <v>110</v>
      </c>
      <c r="F904" s="15">
        <f>1.7*12</f>
        <v>20.399999999999999</v>
      </c>
      <c r="G904" s="16"/>
      <c r="H904" s="4"/>
    </row>
    <row r="905" spans="1:8" x14ac:dyDescent="0.25">
      <c r="A905" s="289"/>
      <c r="B905" s="269"/>
      <c r="C905" s="25" t="s">
        <v>13</v>
      </c>
      <c r="D905" s="264"/>
      <c r="E905" s="143" t="s">
        <v>208</v>
      </c>
      <c r="F905" s="15">
        <v>12</v>
      </c>
      <c r="G905" s="16"/>
      <c r="H905" s="4"/>
    </row>
    <row r="906" spans="1:8" x14ac:dyDescent="0.25">
      <c r="A906" s="287">
        <v>46143</v>
      </c>
      <c r="B906" s="261" t="s">
        <v>5</v>
      </c>
      <c r="C906" s="25" t="s">
        <v>13</v>
      </c>
      <c r="D906" s="265">
        <v>5</v>
      </c>
      <c r="E906" s="98" t="s">
        <v>73</v>
      </c>
      <c r="F906" s="15">
        <v>8</v>
      </c>
      <c r="G906" s="16">
        <v>101</v>
      </c>
      <c r="H906" s="4"/>
    </row>
    <row r="907" spans="1:8" x14ac:dyDescent="0.25">
      <c r="A907" s="288"/>
      <c r="B907" s="268"/>
      <c r="C907" s="25" t="s">
        <v>13</v>
      </c>
      <c r="D907" s="264"/>
      <c r="E907" s="98" t="s">
        <v>85</v>
      </c>
      <c r="F907" s="15">
        <v>5</v>
      </c>
      <c r="G907" s="16"/>
      <c r="H907" s="4"/>
    </row>
    <row r="908" spans="1:8" x14ac:dyDescent="0.25">
      <c r="A908" s="288"/>
      <c r="B908" s="268"/>
      <c r="C908" s="25" t="s">
        <v>6</v>
      </c>
      <c r="D908" s="265">
        <v>12</v>
      </c>
      <c r="E908" s="98" t="s">
        <v>147</v>
      </c>
      <c r="F908" s="15">
        <v>50</v>
      </c>
      <c r="G908" s="35">
        <v>103</v>
      </c>
      <c r="H908" s="4" t="s">
        <v>146</v>
      </c>
    </row>
    <row r="909" spans="1:8" x14ac:dyDescent="0.25">
      <c r="A909" s="288"/>
      <c r="B909" s="268"/>
      <c r="C909" s="25" t="s">
        <v>6</v>
      </c>
      <c r="D909" s="263"/>
      <c r="E909" s="98" t="s">
        <v>205</v>
      </c>
      <c r="F909" s="15">
        <v>6</v>
      </c>
      <c r="G909" s="35">
        <v>103</v>
      </c>
      <c r="H909" s="4"/>
    </row>
    <row r="910" spans="1:8" x14ac:dyDescent="0.25">
      <c r="A910" s="288"/>
      <c r="B910" s="268"/>
      <c r="C910" s="25" t="s">
        <v>6</v>
      </c>
      <c r="D910" s="263"/>
      <c r="E910" s="98" t="s">
        <v>96</v>
      </c>
      <c r="F910" s="15">
        <v>6</v>
      </c>
      <c r="G910" s="35">
        <v>103</v>
      </c>
      <c r="H910" s="4"/>
    </row>
    <row r="911" spans="1:8" x14ac:dyDescent="0.25">
      <c r="A911" s="288"/>
      <c r="B911" s="268"/>
      <c r="C911" s="25" t="s">
        <v>6</v>
      </c>
      <c r="D911" s="264"/>
      <c r="E911" s="98" t="s">
        <v>199</v>
      </c>
      <c r="F911" s="15">
        <v>7.5</v>
      </c>
      <c r="G911" s="35">
        <v>103</v>
      </c>
      <c r="H911" s="4"/>
    </row>
    <row r="912" spans="1:8" x14ac:dyDescent="0.25">
      <c r="A912" s="288"/>
      <c r="B912" s="268"/>
      <c r="C912" s="25" t="s">
        <v>6</v>
      </c>
      <c r="D912" s="248">
        <v>8</v>
      </c>
      <c r="E912" s="98" t="s">
        <v>147</v>
      </c>
      <c r="F912" s="15">
        <v>15</v>
      </c>
      <c r="G912" s="35">
        <v>104</v>
      </c>
      <c r="H912" s="4" t="s">
        <v>146</v>
      </c>
    </row>
    <row r="913" spans="1:8" x14ac:dyDescent="0.25">
      <c r="A913" s="288"/>
      <c r="B913" s="268"/>
      <c r="C913" s="25" t="s">
        <v>6</v>
      </c>
      <c r="D913" s="248"/>
      <c r="E913" s="98" t="s">
        <v>96</v>
      </c>
      <c r="F913" s="15">
        <v>3</v>
      </c>
      <c r="G913" s="35">
        <v>104</v>
      </c>
      <c r="H913" s="4"/>
    </row>
    <row r="914" spans="1:8" x14ac:dyDescent="0.25">
      <c r="A914" s="288"/>
      <c r="B914" s="268"/>
      <c r="C914" s="25" t="s">
        <v>6</v>
      </c>
      <c r="D914" s="248"/>
      <c r="E914" s="98" t="s">
        <v>199</v>
      </c>
      <c r="F914" s="15">
        <v>1.5</v>
      </c>
      <c r="G914" s="35">
        <v>104</v>
      </c>
      <c r="H914" s="4"/>
    </row>
    <row r="915" spans="1:8" x14ac:dyDescent="0.25">
      <c r="A915" s="288"/>
      <c r="B915" s="268"/>
      <c r="C915" s="25" t="s">
        <v>6</v>
      </c>
      <c r="D915" s="248">
        <v>5</v>
      </c>
      <c r="E915" s="98" t="s">
        <v>256</v>
      </c>
      <c r="F915" s="15"/>
      <c r="G915" s="16"/>
      <c r="H915" s="4"/>
    </row>
    <row r="916" spans="1:8" x14ac:dyDescent="0.25">
      <c r="A916" s="288"/>
      <c r="B916" s="268"/>
      <c r="C916" s="25" t="s">
        <v>6</v>
      </c>
      <c r="D916" s="248">
        <v>2</v>
      </c>
      <c r="E916" s="154" t="s">
        <v>280</v>
      </c>
      <c r="F916" s="15"/>
      <c r="G916" s="16"/>
      <c r="H916" s="4"/>
    </row>
    <row r="917" spans="1:8" x14ac:dyDescent="0.25">
      <c r="A917" s="288"/>
      <c r="B917" s="268"/>
      <c r="C917" s="25" t="s">
        <v>6</v>
      </c>
      <c r="D917" s="248">
        <v>2</v>
      </c>
      <c r="E917" s="98" t="s">
        <v>51</v>
      </c>
      <c r="F917" s="15"/>
      <c r="G917" s="16"/>
      <c r="H917" s="4"/>
    </row>
    <row r="918" spans="1:8" x14ac:dyDescent="0.25">
      <c r="A918" s="288"/>
      <c r="B918" s="268"/>
      <c r="C918" s="25" t="s">
        <v>6</v>
      </c>
      <c r="D918" s="265">
        <v>2</v>
      </c>
      <c r="E918" s="98" t="s">
        <v>229</v>
      </c>
      <c r="F918" s="15"/>
      <c r="G918" s="16"/>
      <c r="H918" s="4"/>
    </row>
    <row r="919" spans="1:8" x14ac:dyDescent="0.25">
      <c r="A919" s="289"/>
      <c r="B919" s="269"/>
      <c r="C919" s="25" t="s">
        <v>6</v>
      </c>
      <c r="D919" s="264"/>
      <c r="E919" s="98" t="s">
        <v>229</v>
      </c>
      <c r="F919" s="15"/>
      <c r="G919" s="16"/>
      <c r="H919" s="4"/>
    </row>
    <row r="920" spans="1:8" x14ac:dyDescent="0.25">
      <c r="A920" s="287">
        <v>46144</v>
      </c>
      <c r="B920" s="261" t="s">
        <v>36</v>
      </c>
      <c r="C920" s="25" t="s">
        <v>6</v>
      </c>
      <c r="D920" s="265">
        <v>8</v>
      </c>
      <c r="E920" s="98" t="s">
        <v>147</v>
      </c>
      <c r="F920" s="15">
        <v>22</v>
      </c>
      <c r="G920" s="35">
        <v>105</v>
      </c>
      <c r="H920" s="4" t="s">
        <v>146</v>
      </c>
    </row>
    <row r="921" spans="1:8" x14ac:dyDescent="0.25">
      <c r="A921" s="288"/>
      <c r="B921" s="268"/>
      <c r="C921" s="25" t="s">
        <v>6</v>
      </c>
      <c r="D921" s="263"/>
      <c r="E921" s="98" t="s">
        <v>96</v>
      </c>
      <c r="F921" s="36">
        <v>6</v>
      </c>
      <c r="G921" s="37">
        <v>105</v>
      </c>
      <c r="H921" s="4"/>
    </row>
    <row r="922" spans="1:8" x14ac:dyDescent="0.25">
      <c r="A922" s="288"/>
      <c r="B922" s="268"/>
      <c r="C922" s="25" t="s">
        <v>6</v>
      </c>
      <c r="D922" s="264"/>
      <c r="E922" s="98" t="s">
        <v>199</v>
      </c>
      <c r="F922" s="15">
        <v>3.6</v>
      </c>
      <c r="G922" s="35">
        <v>105</v>
      </c>
      <c r="H922" s="4"/>
    </row>
    <row r="923" spans="1:8" ht="31.5" x14ac:dyDescent="0.25">
      <c r="A923" s="288"/>
      <c r="B923" s="268"/>
      <c r="C923" s="25" t="s">
        <v>6</v>
      </c>
      <c r="D923" s="265">
        <v>6</v>
      </c>
      <c r="E923" s="98" t="s">
        <v>218</v>
      </c>
      <c r="F923" s="15"/>
      <c r="G923" s="16"/>
      <c r="H923" s="4" t="s">
        <v>203</v>
      </c>
    </row>
    <row r="924" spans="1:8" x14ac:dyDescent="0.25">
      <c r="A924" s="288"/>
      <c r="B924" s="268"/>
      <c r="C924" s="25" t="s">
        <v>6</v>
      </c>
      <c r="D924" s="264"/>
      <c r="E924" s="154" t="s">
        <v>280</v>
      </c>
      <c r="F924" s="15">
        <v>26</v>
      </c>
      <c r="G924" s="16"/>
      <c r="H924" s="4"/>
    </row>
    <row r="925" spans="1:8" x14ac:dyDescent="0.25">
      <c r="A925" s="288"/>
      <c r="B925" s="268"/>
      <c r="C925" s="25" t="s">
        <v>13</v>
      </c>
      <c r="D925" s="265">
        <v>5</v>
      </c>
      <c r="E925" s="98" t="s">
        <v>256</v>
      </c>
      <c r="F925" s="15"/>
      <c r="G925" s="16"/>
      <c r="H925" s="4" t="s">
        <v>146</v>
      </c>
    </row>
    <row r="926" spans="1:8" x14ac:dyDescent="0.25">
      <c r="A926" s="288"/>
      <c r="B926" s="268"/>
      <c r="C926" s="25" t="s">
        <v>13</v>
      </c>
      <c r="D926" s="263"/>
      <c r="E926" s="96" t="s">
        <v>21</v>
      </c>
      <c r="F926" s="15"/>
      <c r="G926" s="16"/>
      <c r="H926" s="4"/>
    </row>
    <row r="927" spans="1:8" x14ac:dyDescent="0.25">
      <c r="A927" s="288"/>
      <c r="B927" s="268"/>
      <c r="C927" s="25" t="s">
        <v>13</v>
      </c>
      <c r="D927" s="263"/>
      <c r="E927" s="96" t="s">
        <v>356</v>
      </c>
      <c r="F927" s="15"/>
      <c r="G927" s="16"/>
      <c r="H927" s="4"/>
    </row>
    <row r="928" spans="1:8" x14ac:dyDescent="0.25">
      <c r="A928" s="288"/>
      <c r="B928" s="268"/>
      <c r="C928" s="25" t="s">
        <v>13</v>
      </c>
      <c r="D928" s="264"/>
      <c r="E928" s="98" t="s">
        <v>204</v>
      </c>
      <c r="F928" s="15"/>
      <c r="G928" s="16"/>
      <c r="H928" s="4"/>
    </row>
    <row r="929" spans="1:8" x14ac:dyDescent="0.25">
      <c r="A929" s="288"/>
      <c r="B929" s="268"/>
      <c r="C929" s="25" t="s">
        <v>6</v>
      </c>
      <c r="D929" s="248">
        <v>2</v>
      </c>
      <c r="E929" s="98" t="s">
        <v>132</v>
      </c>
      <c r="F929" s="15"/>
      <c r="G929" s="16"/>
      <c r="H929" s="4"/>
    </row>
    <row r="930" spans="1:8" x14ac:dyDescent="0.25">
      <c r="A930" s="289"/>
      <c r="B930" s="269"/>
      <c r="C930" s="25" t="s">
        <v>13</v>
      </c>
      <c r="D930" s="248">
        <v>3</v>
      </c>
      <c r="E930" s="98" t="s">
        <v>132</v>
      </c>
      <c r="F930" s="15"/>
      <c r="G930" s="16"/>
      <c r="H930" s="4"/>
    </row>
    <row r="931" spans="1:8" x14ac:dyDescent="0.25">
      <c r="A931" s="287">
        <v>46144</v>
      </c>
      <c r="B931" s="261" t="s">
        <v>5</v>
      </c>
      <c r="C931" s="25" t="s">
        <v>6</v>
      </c>
      <c r="D931" s="248">
        <v>10</v>
      </c>
      <c r="E931" s="98" t="s">
        <v>147</v>
      </c>
      <c r="F931" s="15">
        <v>40</v>
      </c>
      <c r="G931" s="35">
        <v>104</v>
      </c>
      <c r="H931" s="4" t="s">
        <v>146</v>
      </c>
    </row>
    <row r="932" spans="1:8" x14ac:dyDescent="0.25">
      <c r="A932" s="288"/>
      <c r="B932" s="268"/>
      <c r="C932" s="25" t="s">
        <v>6</v>
      </c>
      <c r="D932" s="248"/>
      <c r="E932" s="98" t="s">
        <v>96</v>
      </c>
      <c r="F932" s="36">
        <v>4</v>
      </c>
      <c r="G932" s="37">
        <v>104</v>
      </c>
      <c r="H932" s="4"/>
    </row>
    <row r="933" spans="1:8" x14ac:dyDescent="0.25">
      <c r="A933" s="288"/>
      <c r="B933" s="268"/>
      <c r="C933" s="25" t="s">
        <v>6</v>
      </c>
      <c r="D933" s="248"/>
      <c r="E933" s="98" t="s">
        <v>199</v>
      </c>
      <c r="F933" s="15">
        <v>6</v>
      </c>
      <c r="G933" s="35">
        <v>104</v>
      </c>
      <c r="H933" s="4"/>
    </row>
    <row r="934" spans="1:8" x14ac:dyDescent="0.25">
      <c r="A934" s="314"/>
      <c r="B934" s="268"/>
      <c r="C934" s="25" t="s">
        <v>6</v>
      </c>
      <c r="D934" s="248"/>
      <c r="E934" s="98" t="s">
        <v>205</v>
      </c>
      <c r="F934" s="15">
        <v>4</v>
      </c>
      <c r="G934" s="16">
        <v>104</v>
      </c>
      <c r="H934" s="4"/>
    </row>
    <row r="935" spans="1:8" x14ac:dyDescent="0.25">
      <c r="A935" s="288"/>
      <c r="B935" s="268"/>
      <c r="C935" s="25" t="s">
        <v>6</v>
      </c>
      <c r="D935" s="248">
        <v>7</v>
      </c>
      <c r="E935" s="98" t="s">
        <v>147</v>
      </c>
      <c r="F935" s="15">
        <v>15</v>
      </c>
      <c r="G935" s="35">
        <v>105</v>
      </c>
      <c r="H935" s="4" t="s">
        <v>146</v>
      </c>
    </row>
    <row r="936" spans="1:8" x14ac:dyDescent="0.25">
      <c r="A936" s="288"/>
      <c r="B936" s="268"/>
      <c r="C936" s="25" t="s">
        <v>6</v>
      </c>
      <c r="D936" s="248"/>
      <c r="E936" s="98" t="s">
        <v>96</v>
      </c>
      <c r="F936" s="36">
        <v>3</v>
      </c>
      <c r="G936" s="37">
        <v>105</v>
      </c>
      <c r="H936" s="4"/>
    </row>
    <row r="937" spans="1:8" x14ac:dyDescent="0.25">
      <c r="A937" s="288"/>
      <c r="B937" s="268"/>
      <c r="C937" s="25" t="s">
        <v>6</v>
      </c>
      <c r="D937" s="248"/>
      <c r="E937" s="98" t="s">
        <v>199</v>
      </c>
      <c r="F937" s="15">
        <v>7.5</v>
      </c>
      <c r="G937" s="35">
        <v>105</v>
      </c>
      <c r="H937" s="4"/>
    </row>
    <row r="938" spans="1:8" x14ac:dyDescent="0.25">
      <c r="A938" s="288"/>
      <c r="B938" s="268"/>
      <c r="C938" s="25" t="s">
        <v>6</v>
      </c>
      <c r="D938" s="248">
        <v>6</v>
      </c>
      <c r="E938" s="98" t="s">
        <v>256</v>
      </c>
      <c r="F938" s="15"/>
      <c r="G938" s="16"/>
      <c r="H938" s="4"/>
    </row>
    <row r="939" spans="1:8" x14ac:dyDescent="0.25">
      <c r="A939" s="288"/>
      <c r="B939" s="268"/>
      <c r="C939" s="25" t="s">
        <v>6</v>
      </c>
      <c r="D939" s="248">
        <v>2</v>
      </c>
      <c r="E939" s="154" t="s">
        <v>280</v>
      </c>
      <c r="F939" s="15"/>
      <c r="G939" s="16"/>
      <c r="H939" s="4"/>
    </row>
    <row r="940" spans="1:8" x14ac:dyDescent="0.25">
      <c r="A940" s="288"/>
      <c r="B940" s="268"/>
      <c r="C940" s="25" t="s">
        <v>6</v>
      </c>
      <c r="D940" s="248">
        <v>5</v>
      </c>
      <c r="E940" s="98" t="s">
        <v>108</v>
      </c>
      <c r="F940" s="15">
        <v>4</v>
      </c>
      <c r="G940" s="16">
        <v>116</v>
      </c>
      <c r="H940" s="4" t="s">
        <v>146</v>
      </c>
    </row>
    <row r="941" spans="1:8" x14ac:dyDescent="0.25">
      <c r="A941" s="288"/>
      <c r="B941" s="268"/>
      <c r="C941" s="25" t="s">
        <v>6</v>
      </c>
      <c r="D941" s="248"/>
      <c r="E941" s="98" t="s">
        <v>71</v>
      </c>
      <c r="F941" s="36">
        <v>3</v>
      </c>
      <c r="G941" s="16">
        <v>116</v>
      </c>
      <c r="H941" s="4" t="s">
        <v>228</v>
      </c>
    </row>
    <row r="942" spans="1:8" x14ac:dyDescent="0.25">
      <c r="A942" s="288"/>
      <c r="B942" s="268"/>
      <c r="C942" s="25" t="s">
        <v>6</v>
      </c>
      <c r="D942" s="248"/>
      <c r="E942" s="98" t="s">
        <v>212</v>
      </c>
      <c r="F942" s="15">
        <v>10</v>
      </c>
      <c r="G942" s="16">
        <v>116</v>
      </c>
      <c r="H942" s="4">
        <v>103</v>
      </c>
    </row>
    <row r="943" spans="1:8" x14ac:dyDescent="0.25">
      <c r="A943" s="288"/>
      <c r="B943" s="268"/>
      <c r="C943" s="25" t="s">
        <v>6</v>
      </c>
      <c r="D943" s="248"/>
      <c r="E943" s="98" t="s">
        <v>96</v>
      </c>
      <c r="F943" s="36">
        <v>3</v>
      </c>
      <c r="G943" s="38">
        <v>116</v>
      </c>
      <c r="H943" s="4">
        <v>103</v>
      </c>
    </row>
    <row r="944" spans="1:8" x14ac:dyDescent="0.25">
      <c r="A944" s="288"/>
      <c r="B944" s="268"/>
      <c r="C944" s="25" t="s">
        <v>6</v>
      </c>
      <c r="D944" s="248">
        <v>4</v>
      </c>
      <c r="E944" s="98" t="s">
        <v>73</v>
      </c>
      <c r="F944" s="15">
        <v>4</v>
      </c>
      <c r="G944" s="16">
        <v>101</v>
      </c>
      <c r="H944" s="4"/>
    </row>
    <row r="945" spans="1:8" x14ac:dyDescent="0.25">
      <c r="A945" s="288"/>
      <c r="B945" s="268"/>
      <c r="C945" s="25" t="s">
        <v>13</v>
      </c>
      <c r="D945" s="248"/>
      <c r="E945" s="98" t="s">
        <v>110</v>
      </c>
      <c r="F945" s="15">
        <v>12</v>
      </c>
      <c r="G945" s="16"/>
      <c r="H945" s="4"/>
    </row>
    <row r="946" spans="1:8" x14ac:dyDescent="0.25">
      <c r="A946" s="288"/>
      <c r="B946" s="268"/>
      <c r="C946" s="25" t="s">
        <v>13</v>
      </c>
      <c r="D946" s="248"/>
      <c r="E946" s="98" t="s">
        <v>310</v>
      </c>
      <c r="F946" s="15">
        <v>4</v>
      </c>
      <c r="G946" s="16"/>
      <c r="H946" s="4"/>
    </row>
    <row r="947" spans="1:8" x14ac:dyDescent="0.25">
      <c r="A947" s="288"/>
      <c r="B947" s="268"/>
      <c r="C947" s="25" t="s">
        <v>13</v>
      </c>
      <c r="D947" s="248">
        <v>2</v>
      </c>
      <c r="E947" s="98" t="s">
        <v>51</v>
      </c>
      <c r="F947" s="15"/>
      <c r="G947" s="16"/>
      <c r="H947" s="4"/>
    </row>
    <row r="948" spans="1:8" x14ac:dyDescent="0.25">
      <c r="A948" s="289"/>
      <c r="B948" s="269"/>
      <c r="C948" s="25" t="s">
        <v>13</v>
      </c>
      <c r="D948" s="248">
        <v>2</v>
      </c>
      <c r="E948" s="98" t="s">
        <v>229</v>
      </c>
      <c r="F948" s="15"/>
      <c r="G948" s="16"/>
      <c r="H948" s="4"/>
    </row>
    <row r="949" spans="1:8" x14ac:dyDescent="0.25">
      <c r="A949" s="287">
        <v>46145</v>
      </c>
      <c r="B949" s="321" t="s">
        <v>36</v>
      </c>
      <c r="C949" s="25" t="s">
        <v>6</v>
      </c>
      <c r="D949" s="340">
        <v>7</v>
      </c>
      <c r="E949" s="154" t="s">
        <v>205</v>
      </c>
      <c r="F949" s="36">
        <v>6</v>
      </c>
      <c r="G949" s="5">
        <v>105</v>
      </c>
      <c r="H949" s="4" t="s">
        <v>146</v>
      </c>
    </row>
    <row r="950" spans="1:8" x14ac:dyDescent="0.25">
      <c r="A950" s="288"/>
      <c r="B950" s="297"/>
      <c r="C950" s="40" t="s">
        <v>6</v>
      </c>
      <c r="D950" s="340"/>
      <c r="E950" s="158" t="s">
        <v>205</v>
      </c>
      <c r="F950" s="39">
        <v>2</v>
      </c>
      <c r="G950" s="5">
        <v>104</v>
      </c>
      <c r="H950" s="5"/>
    </row>
    <row r="951" spans="1:8" x14ac:dyDescent="0.25">
      <c r="A951" s="288"/>
      <c r="B951" s="297"/>
      <c r="C951" s="40" t="s">
        <v>6</v>
      </c>
      <c r="D951" s="340"/>
      <c r="E951" s="158" t="s">
        <v>205</v>
      </c>
      <c r="F951" s="39">
        <v>4</v>
      </c>
      <c r="G951" s="5">
        <v>104</v>
      </c>
      <c r="H951" s="5"/>
    </row>
    <row r="952" spans="1:8" x14ac:dyDescent="0.25">
      <c r="A952" s="288"/>
      <c r="B952" s="297"/>
      <c r="C952" s="40" t="s">
        <v>6</v>
      </c>
      <c r="D952" s="342">
        <v>4</v>
      </c>
      <c r="E952" s="96" t="s">
        <v>206</v>
      </c>
      <c r="F952" s="5">
        <v>15</v>
      </c>
      <c r="G952" s="5"/>
      <c r="H952" s="5"/>
    </row>
    <row r="953" spans="1:8" x14ac:dyDescent="0.25">
      <c r="A953" s="288"/>
      <c r="B953" s="297"/>
      <c r="C953" s="5" t="s">
        <v>6</v>
      </c>
      <c r="D953" s="343"/>
      <c r="E953" s="96" t="s">
        <v>206</v>
      </c>
      <c r="F953" s="5">
        <v>15</v>
      </c>
      <c r="G953" s="5"/>
      <c r="H953" s="5"/>
    </row>
    <row r="954" spans="1:8" x14ac:dyDescent="0.25">
      <c r="A954" s="288"/>
      <c r="B954" s="297"/>
      <c r="C954" s="5" t="s">
        <v>13</v>
      </c>
      <c r="D954" s="342">
        <v>4</v>
      </c>
      <c r="E954" s="154" t="s">
        <v>280</v>
      </c>
      <c r="F954" s="5"/>
      <c r="G954" s="5"/>
      <c r="H954" s="5"/>
    </row>
    <row r="955" spans="1:8" x14ac:dyDescent="0.25">
      <c r="A955" s="288"/>
      <c r="B955" s="297"/>
      <c r="C955" s="5" t="s">
        <v>6</v>
      </c>
      <c r="D955" s="343"/>
      <c r="E955" s="154" t="s">
        <v>280</v>
      </c>
      <c r="F955" s="5"/>
      <c r="G955" s="5"/>
      <c r="H955" s="5"/>
    </row>
    <row r="956" spans="1:8" x14ac:dyDescent="0.25">
      <c r="A956" s="288"/>
      <c r="B956" s="297"/>
      <c r="C956" s="5" t="s">
        <v>13</v>
      </c>
      <c r="D956" s="254">
        <v>2</v>
      </c>
      <c r="E956" s="98" t="s">
        <v>218</v>
      </c>
      <c r="F956" s="5"/>
      <c r="G956" s="5"/>
      <c r="H956" s="5"/>
    </row>
    <row r="957" spans="1:8" x14ac:dyDescent="0.25">
      <c r="A957" s="288"/>
      <c r="B957" s="297"/>
      <c r="C957" s="5" t="s">
        <v>6</v>
      </c>
      <c r="D957" s="342">
        <v>4</v>
      </c>
      <c r="E957" s="96" t="s">
        <v>21</v>
      </c>
      <c r="F957" s="5"/>
      <c r="G957" s="5"/>
      <c r="H957" s="5"/>
    </row>
    <row r="958" spans="1:8" x14ac:dyDescent="0.25">
      <c r="A958" s="288"/>
      <c r="B958" s="297"/>
      <c r="C958" s="5" t="s">
        <v>6</v>
      </c>
      <c r="D958" s="344"/>
      <c r="E958" s="96" t="s">
        <v>207</v>
      </c>
      <c r="F958" s="5"/>
      <c r="G958" s="5"/>
      <c r="H958" s="5"/>
    </row>
    <row r="959" spans="1:8" x14ac:dyDescent="0.25">
      <c r="A959" s="288"/>
      <c r="B959" s="297"/>
      <c r="C959" s="5" t="s">
        <v>6</v>
      </c>
      <c r="D959" s="344"/>
      <c r="E959" s="96" t="s">
        <v>21</v>
      </c>
      <c r="F959" s="5"/>
      <c r="G959" s="5"/>
      <c r="H959" s="5"/>
    </row>
    <row r="960" spans="1:8" x14ac:dyDescent="0.25">
      <c r="A960" s="288"/>
      <c r="B960" s="297"/>
      <c r="C960" s="5" t="s">
        <v>13</v>
      </c>
      <c r="D960" s="343"/>
      <c r="E960" s="96" t="s">
        <v>207</v>
      </c>
      <c r="F960" s="5"/>
      <c r="G960" s="5"/>
      <c r="H960" s="5"/>
    </row>
    <row r="961" spans="1:8" x14ac:dyDescent="0.25">
      <c r="A961" s="288"/>
      <c r="B961" s="297"/>
      <c r="C961" s="5" t="s">
        <v>13</v>
      </c>
      <c r="D961" s="342">
        <v>3</v>
      </c>
      <c r="E961" s="96" t="s">
        <v>147</v>
      </c>
      <c r="F961" s="5">
        <v>10</v>
      </c>
      <c r="G961" s="41">
        <v>105</v>
      </c>
      <c r="H961" s="5"/>
    </row>
    <row r="962" spans="1:8" x14ac:dyDescent="0.25">
      <c r="A962" s="288"/>
      <c r="B962" s="297"/>
      <c r="C962" s="5" t="s">
        <v>6</v>
      </c>
      <c r="D962" s="344"/>
      <c r="E962" s="96" t="s">
        <v>96</v>
      </c>
      <c r="F962" s="42">
        <v>2</v>
      </c>
      <c r="G962" s="43">
        <v>105</v>
      </c>
      <c r="H962" s="5"/>
    </row>
    <row r="963" spans="1:8" x14ac:dyDescent="0.25">
      <c r="A963" s="288"/>
      <c r="B963" s="298"/>
      <c r="C963" s="5" t="s">
        <v>6</v>
      </c>
      <c r="D963" s="343"/>
      <c r="E963" s="154" t="s">
        <v>280</v>
      </c>
      <c r="F963" s="5">
        <v>5</v>
      </c>
      <c r="G963" s="5"/>
      <c r="H963" s="5"/>
    </row>
    <row r="964" spans="1:8" x14ac:dyDescent="0.25">
      <c r="A964" s="287">
        <v>46145</v>
      </c>
      <c r="B964" s="321" t="s">
        <v>5</v>
      </c>
      <c r="C964" s="5" t="s">
        <v>6</v>
      </c>
      <c r="D964" s="342">
        <v>5</v>
      </c>
      <c r="E964" s="96" t="s">
        <v>147</v>
      </c>
      <c r="F964" s="5">
        <v>15</v>
      </c>
      <c r="G964" s="44">
        <v>104</v>
      </c>
      <c r="H964" s="4" t="s">
        <v>146</v>
      </c>
    </row>
    <row r="965" spans="1:8" x14ac:dyDescent="0.25">
      <c r="A965" s="288"/>
      <c r="B965" s="297"/>
      <c r="C965" s="5" t="s">
        <v>6</v>
      </c>
      <c r="D965" s="344"/>
      <c r="E965" s="96" t="s">
        <v>205</v>
      </c>
      <c r="F965" s="5">
        <v>2</v>
      </c>
      <c r="G965" s="44">
        <v>104</v>
      </c>
      <c r="H965" s="5"/>
    </row>
    <row r="966" spans="1:8" x14ac:dyDescent="0.25">
      <c r="A966" s="288"/>
      <c r="B966" s="297"/>
      <c r="C966" s="5" t="s">
        <v>6</v>
      </c>
      <c r="D966" s="343"/>
      <c r="E966" s="96" t="s">
        <v>96</v>
      </c>
      <c r="F966" s="42">
        <v>5</v>
      </c>
      <c r="G966" s="45">
        <v>104</v>
      </c>
      <c r="H966" s="5"/>
    </row>
    <row r="967" spans="1:8" x14ac:dyDescent="0.25">
      <c r="A967" s="288"/>
      <c r="B967" s="297"/>
      <c r="C967" s="5" t="s">
        <v>6</v>
      </c>
      <c r="D967" s="342">
        <v>6</v>
      </c>
      <c r="E967" s="96" t="s">
        <v>147</v>
      </c>
      <c r="F967" s="5">
        <v>45</v>
      </c>
      <c r="G967" s="44">
        <v>105</v>
      </c>
      <c r="H967" s="4" t="s">
        <v>146</v>
      </c>
    </row>
    <row r="968" spans="1:8" x14ac:dyDescent="0.25">
      <c r="A968" s="288"/>
      <c r="B968" s="297"/>
      <c r="C968" s="5" t="s">
        <v>6</v>
      </c>
      <c r="D968" s="344"/>
      <c r="E968" s="98" t="s">
        <v>205</v>
      </c>
      <c r="F968" s="15">
        <v>6</v>
      </c>
      <c r="G968" s="44">
        <v>105</v>
      </c>
      <c r="H968" s="4"/>
    </row>
    <row r="969" spans="1:8" x14ac:dyDescent="0.25">
      <c r="A969" s="288"/>
      <c r="B969" s="297"/>
      <c r="C969" s="5" t="s">
        <v>6</v>
      </c>
      <c r="D969" s="343"/>
      <c r="E969" s="98" t="s">
        <v>96</v>
      </c>
      <c r="F969" s="36">
        <v>9</v>
      </c>
      <c r="G969" s="45">
        <v>105</v>
      </c>
      <c r="H969" s="4"/>
    </row>
    <row r="970" spans="1:8" x14ac:dyDescent="0.25">
      <c r="A970" s="288"/>
      <c r="B970" s="297"/>
      <c r="C970" s="5" t="s">
        <v>6</v>
      </c>
      <c r="D970" s="342">
        <v>6</v>
      </c>
      <c r="E970" s="96" t="s">
        <v>147</v>
      </c>
      <c r="F970" s="5">
        <v>30</v>
      </c>
      <c r="G970" s="44">
        <v>107</v>
      </c>
      <c r="H970" s="4" t="s">
        <v>146</v>
      </c>
    </row>
    <row r="971" spans="1:8" x14ac:dyDescent="0.25">
      <c r="A971" s="288"/>
      <c r="B971" s="297"/>
      <c r="C971" s="5" t="s">
        <v>6</v>
      </c>
      <c r="D971" s="344"/>
      <c r="E971" s="98" t="s">
        <v>205</v>
      </c>
      <c r="F971" s="15">
        <v>6</v>
      </c>
      <c r="G971" s="44">
        <v>107</v>
      </c>
      <c r="H971" s="4"/>
    </row>
    <row r="972" spans="1:8" x14ac:dyDescent="0.25">
      <c r="A972" s="288"/>
      <c r="B972" s="297"/>
      <c r="C972" s="5" t="s">
        <v>6</v>
      </c>
      <c r="D972" s="344"/>
      <c r="E972" s="98" t="s">
        <v>96</v>
      </c>
      <c r="F972" s="36">
        <v>6</v>
      </c>
      <c r="G972" s="45">
        <v>107</v>
      </c>
      <c r="H972" s="4"/>
    </row>
    <row r="973" spans="1:8" x14ac:dyDescent="0.25">
      <c r="A973" s="288"/>
      <c r="B973" s="297"/>
      <c r="C973" s="5" t="s">
        <v>6</v>
      </c>
      <c r="D973" s="343"/>
      <c r="E973" s="98" t="s">
        <v>199</v>
      </c>
      <c r="F973" s="15">
        <v>7.5</v>
      </c>
      <c r="G973" s="44">
        <v>107</v>
      </c>
      <c r="H973" s="4"/>
    </row>
    <row r="974" spans="1:8" ht="31.5" x14ac:dyDescent="0.25">
      <c r="A974" s="288"/>
      <c r="B974" s="297"/>
      <c r="C974" s="5" t="s">
        <v>6</v>
      </c>
      <c r="D974" s="265">
        <v>5</v>
      </c>
      <c r="E974" s="98" t="s">
        <v>82</v>
      </c>
      <c r="F974" s="15">
        <v>4</v>
      </c>
      <c r="G974" s="33">
        <v>116</v>
      </c>
      <c r="H974" s="4" t="s">
        <v>225</v>
      </c>
    </row>
    <row r="975" spans="1:8" x14ac:dyDescent="0.25">
      <c r="A975" s="288"/>
      <c r="B975" s="297"/>
      <c r="C975" s="5" t="s">
        <v>6</v>
      </c>
      <c r="D975" s="263"/>
      <c r="E975" s="98" t="s">
        <v>71</v>
      </c>
      <c r="F975" s="15">
        <v>3</v>
      </c>
      <c r="G975" s="33">
        <v>116</v>
      </c>
      <c r="H975" s="4" t="s">
        <v>224</v>
      </c>
    </row>
    <row r="976" spans="1:8" x14ac:dyDescent="0.25">
      <c r="A976" s="288"/>
      <c r="B976" s="297"/>
      <c r="C976" s="5" t="s">
        <v>6</v>
      </c>
      <c r="D976" s="263"/>
      <c r="E976" s="98" t="s">
        <v>212</v>
      </c>
      <c r="F976" s="15">
        <v>10</v>
      </c>
      <c r="G976" s="33">
        <v>116</v>
      </c>
      <c r="H976" s="4" t="s">
        <v>224</v>
      </c>
    </row>
    <row r="977" spans="1:8" x14ac:dyDescent="0.25">
      <c r="A977" s="288"/>
      <c r="B977" s="297"/>
      <c r="C977" s="5" t="s">
        <v>6</v>
      </c>
      <c r="D977" s="263"/>
      <c r="E977" s="98" t="s">
        <v>96</v>
      </c>
      <c r="F977" s="36">
        <v>3</v>
      </c>
      <c r="G977" s="46">
        <v>107</v>
      </c>
      <c r="H977" s="4" t="s">
        <v>224</v>
      </c>
    </row>
    <row r="978" spans="1:8" x14ac:dyDescent="0.25">
      <c r="A978" s="288"/>
      <c r="B978" s="297"/>
      <c r="C978" s="5" t="s">
        <v>6</v>
      </c>
      <c r="D978" s="263"/>
      <c r="E978" s="98" t="s">
        <v>213</v>
      </c>
      <c r="F978" s="15">
        <v>10</v>
      </c>
      <c r="G978" s="33">
        <v>116</v>
      </c>
      <c r="H978" s="4" t="s">
        <v>224</v>
      </c>
    </row>
    <row r="979" spans="1:8" x14ac:dyDescent="0.25">
      <c r="A979" s="288"/>
      <c r="B979" s="297"/>
      <c r="C979" s="5" t="s">
        <v>6</v>
      </c>
      <c r="D979" s="264"/>
      <c r="E979" s="98" t="s">
        <v>94</v>
      </c>
      <c r="F979" s="15">
        <v>3</v>
      </c>
      <c r="G979" s="33">
        <v>107</v>
      </c>
      <c r="H979" s="4" t="s">
        <v>224</v>
      </c>
    </row>
    <row r="980" spans="1:8" x14ac:dyDescent="0.25">
      <c r="A980" s="288"/>
      <c r="B980" s="297"/>
      <c r="C980" s="5" t="s">
        <v>6</v>
      </c>
      <c r="D980" s="248">
        <v>6</v>
      </c>
      <c r="E980" s="98" t="s">
        <v>256</v>
      </c>
      <c r="F980" s="15"/>
      <c r="G980" s="16">
        <v>116</v>
      </c>
      <c r="H980" s="4"/>
    </row>
    <row r="981" spans="1:8" x14ac:dyDescent="0.25">
      <c r="A981" s="288"/>
      <c r="B981" s="297"/>
      <c r="C981" s="5" t="s">
        <v>6</v>
      </c>
      <c r="D981" s="248">
        <v>2</v>
      </c>
      <c r="E981" s="154" t="s">
        <v>280</v>
      </c>
      <c r="F981" s="15"/>
      <c r="G981" s="16"/>
      <c r="H981" s="4"/>
    </row>
    <row r="982" spans="1:8" x14ac:dyDescent="0.25">
      <c r="A982" s="288"/>
      <c r="B982" s="297"/>
      <c r="C982" s="5" t="s">
        <v>6</v>
      </c>
      <c r="D982" s="265">
        <v>3</v>
      </c>
      <c r="E982" s="98" t="s">
        <v>115</v>
      </c>
      <c r="F982" s="15">
        <v>2</v>
      </c>
      <c r="G982" s="16" t="s">
        <v>75</v>
      </c>
      <c r="H982" s="4"/>
    </row>
    <row r="983" spans="1:8" x14ac:dyDescent="0.25">
      <c r="A983" s="288"/>
      <c r="B983" s="297"/>
      <c r="C983" s="5" t="s">
        <v>6</v>
      </c>
      <c r="D983" s="264"/>
      <c r="E983" s="98" t="s">
        <v>151</v>
      </c>
      <c r="F983" s="15">
        <v>10</v>
      </c>
      <c r="G983" s="16"/>
      <c r="H983" s="4"/>
    </row>
    <row r="984" spans="1:8" x14ac:dyDescent="0.25">
      <c r="A984" s="289"/>
      <c r="B984" s="298"/>
      <c r="C984" s="5" t="s">
        <v>6</v>
      </c>
      <c r="D984" s="248">
        <v>2</v>
      </c>
      <c r="E984" s="98" t="s">
        <v>229</v>
      </c>
      <c r="F984" s="15"/>
      <c r="G984" s="16"/>
      <c r="H984" s="4"/>
    </row>
    <row r="985" spans="1:8" x14ac:dyDescent="0.25">
      <c r="A985" s="287">
        <v>46146</v>
      </c>
      <c r="B985" s="261" t="s">
        <v>36</v>
      </c>
      <c r="C985" s="5" t="s">
        <v>6</v>
      </c>
      <c r="D985" s="265">
        <v>11</v>
      </c>
      <c r="E985" s="98" t="s">
        <v>58</v>
      </c>
      <c r="F985" s="15">
        <v>52</v>
      </c>
      <c r="G985" s="16">
        <v>116</v>
      </c>
      <c r="H985" s="4" t="s">
        <v>146</v>
      </c>
    </row>
    <row r="986" spans="1:8" x14ac:dyDescent="0.25">
      <c r="A986" s="288"/>
      <c r="B986" s="268"/>
      <c r="C986" s="25" t="s">
        <v>13</v>
      </c>
      <c r="D986" s="263"/>
      <c r="E986" s="98" t="s">
        <v>110</v>
      </c>
      <c r="F986" s="15">
        <v>12.5</v>
      </c>
      <c r="G986" s="16"/>
      <c r="H986" s="4"/>
    </row>
    <row r="987" spans="1:8" x14ac:dyDescent="0.25">
      <c r="A987" s="288"/>
      <c r="B987" s="268"/>
      <c r="C987" s="25" t="s">
        <v>13</v>
      </c>
      <c r="D987" s="263"/>
      <c r="E987" s="98" t="s">
        <v>310</v>
      </c>
      <c r="F987" s="15">
        <v>2</v>
      </c>
      <c r="G987" s="16"/>
      <c r="H987" s="4"/>
    </row>
    <row r="988" spans="1:8" x14ac:dyDescent="0.25">
      <c r="A988" s="288"/>
      <c r="B988" s="268"/>
      <c r="C988" s="25" t="s">
        <v>13</v>
      </c>
      <c r="D988" s="263"/>
      <c r="E988" s="98" t="s">
        <v>208</v>
      </c>
      <c r="F988" s="15">
        <v>16</v>
      </c>
      <c r="G988" s="16"/>
      <c r="H988" s="4"/>
    </row>
    <row r="989" spans="1:8" x14ac:dyDescent="0.25">
      <c r="A989" s="288"/>
      <c r="B989" s="268"/>
      <c r="C989" s="25" t="s">
        <v>13</v>
      </c>
      <c r="D989" s="263"/>
      <c r="E989" s="98" t="s">
        <v>206</v>
      </c>
      <c r="F989" s="15">
        <v>16</v>
      </c>
      <c r="G989" s="16"/>
      <c r="H989" s="4"/>
    </row>
    <row r="990" spans="1:8" x14ac:dyDescent="0.25">
      <c r="A990" s="288"/>
      <c r="B990" s="268"/>
      <c r="C990" s="25" t="s">
        <v>13</v>
      </c>
      <c r="D990" s="264"/>
      <c r="E990" s="98" t="s">
        <v>214</v>
      </c>
      <c r="F990" s="15">
        <v>2</v>
      </c>
      <c r="G990" s="16"/>
      <c r="H990" s="4"/>
    </row>
    <row r="991" spans="1:8" x14ac:dyDescent="0.25">
      <c r="A991" s="288"/>
      <c r="B991" s="268"/>
      <c r="C991" s="25" t="s">
        <v>13</v>
      </c>
      <c r="D991" s="265">
        <v>11</v>
      </c>
      <c r="E991" s="98" t="s">
        <v>151</v>
      </c>
      <c r="F991" s="15">
        <v>25</v>
      </c>
      <c r="G991" s="16" t="s">
        <v>75</v>
      </c>
      <c r="H991" s="4"/>
    </row>
    <row r="992" spans="1:8" x14ac:dyDescent="0.25">
      <c r="A992" s="288"/>
      <c r="B992" s="268"/>
      <c r="C992" s="25" t="s">
        <v>6</v>
      </c>
      <c r="D992" s="263"/>
      <c r="E992" s="98" t="s">
        <v>115</v>
      </c>
      <c r="F992" s="15">
        <v>3</v>
      </c>
      <c r="G992" s="16"/>
      <c r="H992" s="4" t="s">
        <v>215</v>
      </c>
    </row>
    <row r="993" spans="1:8" x14ac:dyDescent="0.25">
      <c r="A993" s="288"/>
      <c r="B993" s="268"/>
      <c r="C993" s="25" t="s">
        <v>6</v>
      </c>
      <c r="D993" s="264"/>
      <c r="E993" s="154" t="s">
        <v>280</v>
      </c>
      <c r="F993" s="15"/>
      <c r="G993" s="16"/>
      <c r="H993" s="4"/>
    </row>
    <row r="994" spans="1:8" x14ac:dyDescent="0.25">
      <c r="A994" s="289"/>
      <c r="B994" s="269"/>
      <c r="C994" s="25" t="s">
        <v>6</v>
      </c>
      <c r="D994" s="248">
        <v>2</v>
      </c>
      <c r="E994" s="98" t="s">
        <v>132</v>
      </c>
      <c r="F994" s="15"/>
      <c r="G994" s="16"/>
      <c r="H994" s="4"/>
    </row>
    <row r="995" spans="1:8" x14ac:dyDescent="0.25">
      <c r="A995" s="287">
        <v>46146</v>
      </c>
      <c r="B995" s="261" t="s">
        <v>5</v>
      </c>
      <c r="C995" s="25" t="s">
        <v>13</v>
      </c>
      <c r="D995" s="265">
        <v>6</v>
      </c>
      <c r="E995" s="98" t="s">
        <v>216</v>
      </c>
      <c r="F995" s="15">
        <v>10</v>
      </c>
      <c r="G995" s="16">
        <v>104</v>
      </c>
      <c r="H995" s="4" t="s">
        <v>146</v>
      </c>
    </row>
    <row r="996" spans="1:8" x14ac:dyDescent="0.25">
      <c r="A996" s="288"/>
      <c r="B996" s="268"/>
      <c r="C996" s="24" t="s">
        <v>6</v>
      </c>
      <c r="D996" s="263"/>
      <c r="E996" s="98" t="s">
        <v>94</v>
      </c>
      <c r="F996" s="15">
        <v>10</v>
      </c>
      <c r="G996" s="16">
        <v>104</v>
      </c>
      <c r="H996" s="4"/>
    </row>
    <row r="997" spans="1:8" x14ac:dyDescent="0.25">
      <c r="A997" s="288"/>
      <c r="B997" s="268"/>
      <c r="C997" s="24" t="s">
        <v>6</v>
      </c>
      <c r="D997" s="264"/>
      <c r="E997" s="98" t="s">
        <v>217</v>
      </c>
      <c r="F997" s="15">
        <v>52</v>
      </c>
      <c r="G997" s="16">
        <v>104</v>
      </c>
      <c r="H997" s="4"/>
    </row>
    <row r="998" spans="1:8" ht="31.5" x14ac:dyDescent="0.25">
      <c r="A998" s="288"/>
      <c r="B998" s="268"/>
      <c r="C998" s="24" t="s">
        <v>6</v>
      </c>
      <c r="D998" s="265">
        <v>6</v>
      </c>
      <c r="E998" s="98" t="s">
        <v>212</v>
      </c>
      <c r="F998" s="15">
        <v>10</v>
      </c>
      <c r="G998" s="16">
        <v>116</v>
      </c>
      <c r="H998" s="4" t="s">
        <v>226</v>
      </c>
    </row>
    <row r="999" spans="1:8" x14ac:dyDescent="0.25">
      <c r="A999" s="288"/>
      <c r="B999" s="268"/>
      <c r="C999" s="24" t="s">
        <v>6</v>
      </c>
      <c r="D999" s="263"/>
      <c r="E999" s="98" t="s">
        <v>213</v>
      </c>
      <c r="F999" s="15">
        <v>10</v>
      </c>
      <c r="G999" s="16">
        <v>116</v>
      </c>
      <c r="H999" s="4" t="s">
        <v>227</v>
      </c>
    </row>
    <row r="1000" spans="1:8" x14ac:dyDescent="0.25">
      <c r="A1000" s="288"/>
      <c r="B1000" s="268"/>
      <c r="C1000" s="24" t="s">
        <v>6</v>
      </c>
      <c r="D1000" s="263"/>
      <c r="E1000" s="98" t="s">
        <v>73</v>
      </c>
      <c r="F1000" s="15">
        <v>3</v>
      </c>
      <c r="G1000" s="16">
        <v>116</v>
      </c>
      <c r="H1000" s="4" t="s">
        <v>227</v>
      </c>
    </row>
    <row r="1001" spans="1:8" x14ac:dyDescent="0.25">
      <c r="A1001" s="288"/>
      <c r="B1001" s="268"/>
      <c r="C1001" s="24" t="s">
        <v>6</v>
      </c>
      <c r="D1001" s="264"/>
      <c r="E1001" s="98" t="s">
        <v>82</v>
      </c>
      <c r="F1001" s="15">
        <v>4</v>
      </c>
      <c r="G1001" s="16">
        <v>116</v>
      </c>
      <c r="H1001" s="4" t="s">
        <v>227</v>
      </c>
    </row>
    <row r="1002" spans="1:8" x14ac:dyDescent="0.25">
      <c r="A1002" s="288"/>
      <c r="B1002" s="268"/>
      <c r="C1002" s="24" t="s">
        <v>6</v>
      </c>
      <c r="D1002" s="265">
        <v>8</v>
      </c>
      <c r="E1002" s="98" t="s">
        <v>147</v>
      </c>
      <c r="F1002" s="15">
        <v>40</v>
      </c>
      <c r="G1002" s="35">
        <v>107</v>
      </c>
      <c r="H1002" s="4" t="s">
        <v>146</v>
      </c>
    </row>
    <row r="1003" spans="1:8" x14ac:dyDescent="0.25">
      <c r="A1003" s="288"/>
      <c r="B1003" s="268"/>
      <c r="C1003" s="24" t="s">
        <v>6</v>
      </c>
      <c r="D1003" s="263"/>
      <c r="E1003" s="154" t="s">
        <v>205</v>
      </c>
      <c r="F1003" s="15">
        <v>6</v>
      </c>
      <c r="G1003" s="16">
        <v>103</v>
      </c>
      <c r="H1003" s="4"/>
    </row>
    <row r="1004" spans="1:8" x14ac:dyDescent="0.25">
      <c r="A1004" s="288"/>
      <c r="B1004" s="268"/>
      <c r="C1004" s="24" t="s">
        <v>6</v>
      </c>
      <c r="D1004" s="264"/>
      <c r="E1004" s="98" t="s">
        <v>96</v>
      </c>
      <c r="F1004" s="36">
        <v>6</v>
      </c>
      <c r="G1004" s="38">
        <v>103</v>
      </c>
      <c r="H1004" s="4"/>
    </row>
    <row r="1005" spans="1:8" x14ac:dyDescent="0.25">
      <c r="A1005" s="288"/>
      <c r="B1005" s="268"/>
      <c r="C1005" s="24" t="s">
        <v>6</v>
      </c>
      <c r="D1005" s="248">
        <v>6</v>
      </c>
      <c r="E1005" s="98" t="s">
        <v>115</v>
      </c>
      <c r="F1005" s="15">
        <v>6</v>
      </c>
      <c r="G1005" s="16" t="s">
        <v>75</v>
      </c>
      <c r="H1005" s="4" t="s">
        <v>215</v>
      </c>
    </row>
    <row r="1006" spans="1:8" x14ac:dyDescent="0.25">
      <c r="A1006" s="288"/>
      <c r="B1006" s="268"/>
      <c r="C1006" s="24" t="s">
        <v>6</v>
      </c>
      <c r="D1006" s="265">
        <v>3</v>
      </c>
      <c r="E1006" s="98" t="s">
        <v>151</v>
      </c>
      <c r="F1006" s="15">
        <v>50</v>
      </c>
      <c r="G1006" s="16"/>
      <c r="H1006" s="4" t="s">
        <v>215</v>
      </c>
    </row>
    <row r="1007" spans="1:8" x14ac:dyDescent="0.25">
      <c r="A1007" s="288"/>
      <c r="B1007" s="268"/>
      <c r="C1007" s="24" t="s">
        <v>6</v>
      </c>
      <c r="D1007" s="264"/>
      <c r="E1007" s="154" t="s">
        <v>280</v>
      </c>
      <c r="F1007" s="15"/>
      <c r="G1007" s="16"/>
      <c r="H1007" s="4"/>
    </row>
    <row r="1008" spans="1:8" x14ac:dyDescent="0.25">
      <c r="A1008" s="288"/>
      <c r="B1008" s="268"/>
      <c r="C1008" s="24" t="s">
        <v>6</v>
      </c>
      <c r="D1008" s="248">
        <v>6</v>
      </c>
      <c r="E1008" s="98" t="s">
        <v>256</v>
      </c>
      <c r="F1008" s="15"/>
      <c r="G1008" s="16"/>
      <c r="H1008" s="4" t="s">
        <v>146</v>
      </c>
    </row>
    <row r="1009" spans="1:8" x14ac:dyDescent="0.25">
      <c r="A1009" s="289"/>
      <c r="B1009" s="269"/>
      <c r="C1009" s="24" t="s">
        <v>6</v>
      </c>
      <c r="D1009" s="248">
        <v>2</v>
      </c>
      <c r="E1009" s="98" t="s">
        <v>218</v>
      </c>
      <c r="F1009" s="15"/>
      <c r="G1009" s="16"/>
      <c r="H1009" s="4"/>
    </row>
    <row r="1010" spans="1:8" x14ac:dyDescent="0.25">
      <c r="A1010" s="287">
        <v>46147</v>
      </c>
      <c r="B1010" s="261" t="s">
        <v>36</v>
      </c>
      <c r="C1010" s="24" t="s">
        <v>6</v>
      </c>
      <c r="D1010" s="265">
        <v>4</v>
      </c>
      <c r="E1010" s="98" t="s">
        <v>308</v>
      </c>
      <c r="F1010" s="15">
        <v>3</v>
      </c>
      <c r="G1010" s="16">
        <v>116</v>
      </c>
      <c r="H1010" s="4" t="s">
        <v>146</v>
      </c>
    </row>
    <row r="1011" spans="1:8" x14ac:dyDescent="0.25">
      <c r="A1011" s="288"/>
      <c r="B1011" s="268"/>
      <c r="C1011" s="24" t="s">
        <v>13</v>
      </c>
      <c r="D1011" s="263"/>
      <c r="E1011" s="98" t="s">
        <v>219</v>
      </c>
      <c r="F1011" s="15">
        <v>6</v>
      </c>
      <c r="G1011" s="16"/>
      <c r="H1011" s="4"/>
    </row>
    <row r="1012" spans="1:8" x14ac:dyDescent="0.25">
      <c r="A1012" s="288"/>
      <c r="B1012" s="268"/>
      <c r="C1012" s="24" t="s">
        <v>13</v>
      </c>
      <c r="D1012" s="264"/>
      <c r="E1012" s="98" t="s">
        <v>206</v>
      </c>
      <c r="F1012" s="15">
        <v>6</v>
      </c>
      <c r="G1012" s="16"/>
      <c r="H1012" s="4"/>
    </row>
    <row r="1013" spans="1:8" x14ac:dyDescent="0.25">
      <c r="A1013" s="288"/>
      <c r="B1013" s="268"/>
      <c r="C1013" s="24" t="s">
        <v>13</v>
      </c>
      <c r="D1013" s="265">
        <v>10</v>
      </c>
      <c r="E1013" s="98" t="s">
        <v>147</v>
      </c>
      <c r="F1013" s="15">
        <v>20</v>
      </c>
      <c r="G1013" s="35">
        <v>109</v>
      </c>
      <c r="H1013" s="4" t="s">
        <v>146</v>
      </c>
    </row>
    <row r="1014" spans="1:8" x14ac:dyDescent="0.25">
      <c r="A1014" s="288"/>
      <c r="B1014" s="268"/>
      <c r="C1014" s="24" t="s">
        <v>6</v>
      </c>
      <c r="D1014" s="263"/>
      <c r="E1014" s="98" t="s">
        <v>284</v>
      </c>
      <c r="F1014" s="15"/>
      <c r="G1014" s="35">
        <v>109</v>
      </c>
      <c r="H1014" s="4"/>
    </row>
    <row r="1015" spans="1:8" x14ac:dyDescent="0.25">
      <c r="A1015" s="288"/>
      <c r="B1015" s="268"/>
      <c r="C1015" s="24" t="s">
        <v>6</v>
      </c>
      <c r="D1015" s="264"/>
      <c r="E1015" s="98" t="s">
        <v>96</v>
      </c>
      <c r="F1015" s="15">
        <v>5</v>
      </c>
      <c r="G1015" s="35">
        <v>109</v>
      </c>
      <c r="H1015" s="4"/>
    </row>
    <row r="1016" spans="1:8" x14ac:dyDescent="0.25">
      <c r="A1016" s="288"/>
      <c r="B1016" s="268"/>
      <c r="C1016" s="24" t="s">
        <v>6</v>
      </c>
      <c r="D1016" s="248">
        <v>2</v>
      </c>
      <c r="E1016" s="154" t="s">
        <v>280</v>
      </c>
      <c r="F1016" s="15"/>
      <c r="G1016" s="16">
        <v>115</v>
      </c>
      <c r="H1016" s="4"/>
    </row>
    <row r="1017" spans="1:8" x14ac:dyDescent="0.25">
      <c r="A1017" s="288"/>
      <c r="B1017" s="268"/>
      <c r="C1017" s="24" t="s">
        <v>6</v>
      </c>
      <c r="D1017" s="265">
        <v>4</v>
      </c>
      <c r="E1017" s="98" t="s">
        <v>78</v>
      </c>
      <c r="F1017" s="15">
        <v>12</v>
      </c>
      <c r="G1017" s="16">
        <v>116</v>
      </c>
      <c r="H1017" s="4" t="s">
        <v>146</v>
      </c>
    </row>
    <row r="1018" spans="1:8" x14ac:dyDescent="0.25">
      <c r="A1018" s="288"/>
      <c r="B1018" s="268"/>
      <c r="C1018" s="24" t="s">
        <v>6</v>
      </c>
      <c r="D1018" s="263"/>
      <c r="E1018" s="98" t="s">
        <v>310</v>
      </c>
      <c r="F1018" s="15">
        <v>3.2</v>
      </c>
      <c r="G1018" s="16">
        <v>116</v>
      </c>
      <c r="H1018" s="4"/>
    </row>
    <row r="1019" spans="1:8" x14ac:dyDescent="0.25">
      <c r="A1019" s="288"/>
      <c r="B1019" s="268"/>
      <c r="C1019" s="24" t="s">
        <v>6</v>
      </c>
      <c r="D1019" s="263"/>
      <c r="E1019" s="98" t="s">
        <v>110</v>
      </c>
      <c r="F1019" s="15">
        <v>21</v>
      </c>
      <c r="G1019" s="16">
        <v>116</v>
      </c>
      <c r="H1019" s="4"/>
    </row>
    <row r="1020" spans="1:8" x14ac:dyDescent="0.25">
      <c r="A1020" s="288"/>
      <c r="B1020" s="268"/>
      <c r="C1020" s="24" t="s">
        <v>6</v>
      </c>
      <c r="D1020" s="263"/>
      <c r="E1020" s="98" t="s">
        <v>208</v>
      </c>
      <c r="F1020" s="15">
        <v>12</v>
      </c>
      <c r="G1020" s="16">
        <v>116</v>
      </c>
      <c r="H1020" s="4"/>
    </row>
    <row r="1021" spans="1:8" x14ac:dyDescent="0.25">
      <c r="A1021" s="288"/>
      <c r="B1021" s="268"/>
      <c r="C1021" s="24" t="s">
        <v>6</v>
      </c>
      <c r="D1021" s="264"/>
      <c r="E1021" s="98" t="s">
        <v>206</v>
      </c>
      <c r="F1021" s="15">
        <v>3</v>
      </c>
      <c r="G1021" s="16">
        <v>116</v>
      </c>
      <c r="H1021" s="4"/>
    </row>
    <row r="1022" spans="1:8" x14ac:dyDescent="0.25">
      <c r="A1022" s="289"/>
      <c r="B1022" s="269"/>
      <c r="C1022" s="24" t="s">
        <v>6</v>
      </c>
      <c r="D1022" s="248">
        <v>5</v>
      </c>
      <c r="E1022" s="98" t="s">
        <v>144</v>
      </c>
      <c r="F1022" s="15"/>
      <c r="G1022" s="16" t="s">
        <v>75</v>
      </c>
      <c r="H1022" s="4"/>
    </row>
    <row r="1023" spans="1:8" x14ac:dyDescent="0.25">
      <c r="A1023" s="287">
        <v>46147</v>
      </c>
      <c r="B1023" s="261" t="s">
        <v>5</v>
      </c>
      <c r="C1023" s="24" t="s">
        <v>6</v>
      </c>
      <c r="D1023" s="248">
        <v>5</v>
      </c>
      <c r="E1023" s="98" t="s">
        <v>216</v>
      </c>
      <c r="F1023" s="15">
        <v>6</v>
      </c>
      <c r="G1023" s="16">
        <v>105</v>
      </c>
      <c r="H1023" s="4" t="s">
        <v>146</v>
      </c>
    </row>
    <row r="1024" spans="1:8" x14ac:dyDescent="0.25">
      <c r="A1024" s="288"/>
      <c r="B1024" s="268"/>
      <c r="C1024" s="24" t="s">
        <v>6</v>
      </c>
      <c r="D1024" s="248">
        <v>2</v>
      </c>
      <c r="E1024" s="98" t="s">
        <v>94</v>
      </c>
      <c r="F1024" s="15">
        <v>6</v>
      </c>
      <c r="G1024" s="16">
        <v>105</v>
      </c>
      <c r="H1024" s="4"/>
    </row>
    <row r="1025" spans="1:8" x14ac:dyDescent="0.25">
      <c r="A1025" s="288"/>
      <c r="B1025" s="268"/>
      <c r="C1025" s="24" t="s">
        <v>6</v>
      </c>
      <c r="D1025" s="248"/>
      <c r="E1025" s="98" t="s">
        <v>217</v>
      </c>
      <c r="F1025" s="15">
        <v>52</v>
      </c>
      <c r="G1025" s="16">
        <v>103</v>
      </c>
      <c r="H1025" s="4"/>
    </row>
    <row r="1026" spans="1:8" x14ac:dyDescent="0.25">
      <c r="A1026" s="288"/>
      <c r="B1026" s="268"/>
      <c r="C1026" s="24" t="s">
        <v>6</v>
      </c>
      <c r="D1026" s="248">
        <v>5</v>
      </c>
      <c r="E1026" s="98" t="s">
        <v>147</v>
      </c>
      <c r="F1026" s="15">
        <v>10</v>
      </c>
      <c r="G1026" s="35">
        <v>107</v>
      </c>
      <c r="H1026" s="4" t="s">
        <v>146</v>
      </c>
    </row>
    <row r="1027" spans="1:8" x14ac:dyDescent="0.25">
      <c r="A1027" s="288"/>
      <c r="B1027" s="268"/>
      <c r="C1027" s="24" t="s">
        <v>6</v>
      </c>
      <c r="D1027" s="248">
        <v>2</v>
      </c>
      <c r="E1027" s="98" t="s">
        <v>284</v>
      </c>
      <c r="F1027" s="15"/>
      <c r="G1027" s="35">
        <v>107</v>
      </c>
      <c r="H1027" s="4"/>
    </row>
    <row r="1028" spans="1:8" x14ac:dyDescent="0.25">
      <c r="A1028" s="288"/>
      <c r="B1028" s="268"/>
      <c r="C1028" s="24" t="s">
        <v>6</v>
      </c>
      <c r="D1028" s="248">
        <v>2</v>
      </c>
      <c r="E1028" s="98" t="s">
        <v>217</v>
      </c>
      <c r="F1028" s="15">
        <v>50</v>
      </c>
      <c r="G1028" s="35">
        <v>107</v>
      </c>
      <c r="H1028" s="4"/>
    </row>
    <row r="1029" spans="1:8" x14ac:dyDescent="0.25">
      <c r="A1029" s="288"/>
      <c r="B1029" s="268"/>
      <c r="C1029" s="24" t="s">
        <v>6</v>
      </c>
      <c r="D1029" s="248">
        <v>5</v>
      </c>
      <c r="E1029" s="98" t="s">
        <v>151</v>
      </c>
      <c r="F1029" s="15">
        <v>40</v>
      </c>
      <c r="G1029" s="16" t="s">
        <v>75</v>
      </c>
      <c r="H1029" s="4"/>
    </row>
    <row r="1030" spans="1:8" x14ac:dyDescent="0.25">
      <c r="A1030" s="288"/>
      <c r="B1030" s="268"/>
      <c r="C1030" s="24" t="s">
        <v>6</v>
      </c>
      <c r="D1030" s="248">
        <v>3</v>
      </c>
      <c r="E1030" s="98" t="s">
        <v>82</v>
      </c>
      <c r="F1030" s="15">
        <v>3</v>
      </c>
      <c r="G1030" s="16">
        <v>116</v>
      </c>
      <c r="H1030" s="4" t="s">
        <v>146</v>
      </c>
    </row>
    <row r="1031" spans="1:8" x14ac:dyDescent="0.25">
      <c r="A1031" s="288"/>
      <c r="B1031" s="268"/>
      <c r="C1031" s="24" t="s">
        <v>6</v>
      </c>
      <c r="D1031" s="248">
        <v>5</v>
      </c>
      <c r="E1031" s="154" t="s">
        <v>280</v>
      </c>
      <c r="F1031" s="15"/>
      <c r="G1031" s="16"/>
      <c r="H1031" s="4"/>
    </row>
    <row r="1032" spans="1:8" x14ac:dyDescent="0.25">
      <c r="A1032" s="288"/>
      <c r="B1032" s="268"/>
      <c r="C1032" s="24" t="s">
        <v>6</v>
      </c>
      <c r="D1032" s="248">
        <v>6</v>
      </c>
      <c r="E1032" s="98" t="s">
        <v>256</v>
      </c>
      <c r="F1032" s="15"/>
      <c r="G1032" s="16"/>
      <c r="H1032" s="4"/>
    </row>
    <row r="1033" spans="1:8" x14ac:dyDescent="0.25">
      <c r="A1033" s="289"/>
      <c r="B1033" s="269"/>
      <c r="C1033" s="24" t="s">
        <v>6</v>
      </c>
      <c r="D1033" s="248">
        <v>3</v>
      </c>
      <c r="E1033" s="98" t="s">
        <v>229</v>
      </c>
      <c r="F1033" s="15"/>
      <c r="G1033" s="16"/>
      <c r="H1033" s="4"/>
    </row>
    <row r="1034" spans="1:8" x14ac:dyDescent="0.25">
      <c r="A1034" s="287">
        <v>46148</v>
      </c>
      <c r="B1034" s="261" t="s">
        <v>36</v>
      </c>
      <c r="C1034" s="24" t="s">
        <v>6</v>
      </c>
      <c r="D1034" s="265">
        <v>10</v>
      </c>
      <c r="E1034" s="98" t="s">
        <v>110</v>
      </c>
      <c r="F1034" s="15">
        <v>7</v>
      </c>
      <c r="G1034" s="16" t="s">
        <v>165</v>
      </c>
      <c r="H1034" s="4" t="s">
        <v>146</v>
      </c>
    </row>
    <row r="1035" spans="1:8" x14ac:dyDescent="0.25">
      <c r="A1035" s="288"/>
      <c r="B1035" s="268"/>
      <c r="C1035" s="25" t="s">
        <v>6</v>
      </c>
      <c r="D1035" s="263"/>
      <c r="E1035" s="98" t="s">
        <v>310</v>
      </c>
      <c r="F1035" s="15">
        <v>1</v>
      </c>
      <c r="G1035" s="16" t="s">
        <v>165</v>
      </c>
      <c r="H1035" s="4"/>
    </row>
    <row r="1036" spans="1:8" x14ac:dyDescent="0.25">
      <c r="A1036" s="288"/>
      <c r="B1036" s="268"/>
      <c r="C1036" s="25" t="s">
        <v>6</v>
      </c>
      <c r="D1036" s="263"/>
      <c r="E1036" s="98" t="s">
        <v>71</v>
      </c>
      <c r="F1036" s="15">
        <v>17</v>
      </c>
      <c r="G1036" s="16" t="s">
        <v>165</v>
      </c>
      <c r="H1036" s="4"/>
    </row>
    <row r="1037" spans="1:8" x14ac:dyDescent="0.25">
      <c r="A1037" s="288"/>
      <c r="B1037" s="268"/>
      <c r="C1037" s="25" t="s">
        <v>6</v>
      </c>
      <c r="D1037" s="263"/>
      <c r="E1037" s="98" t="s">
        <v>78</v>
      </c>
      <c r="F1037" s="15">
        <v>8</v>
      </c>
      <c r="G1037" s="16" t="s">
        <v>165</v>
      </c>
      <c r="H1037" s="4"/>
    </row>
    <row r="1038" spans="1:8" x14ac:dyDescent="0.25">
      <c r="A1038" s="288"/>
      <c r="B1038" s="268"/>
      <c r="C1038" s="25" t="s">
        <v>6</v>
      </c>
      <c r="D1038" s="264"/>
      <c r="E1038" s="98" t="s">
        <v>206</v>
      </c>
      <c r="F1038" s="15">
        <v>8</v>
      </c>
      <c r="G1038" s="16" t="s">
        <v>165</v>
      </c>
      <c r="H1038" s="4"/>
    </row>
    <row r="1039" spans="1:8" x14ac:dyDescent="0.25">
      <c r="A1039" s="288"/>
      <c r="B1039" s="268"/>
      <c r="C1039" s="25" t="s">
        <v>6</v>
      </c>
      <c r="D1039" s="248">
        <v>2</v>
      </c>
      <c r="E1039" s="154" t="s">
        <v>280</v>
      </c>
      <c r="F1039" s="15"/>
      <c r="G1039" s="16" t="s">
        <v>165</v>
      </c>
      <c r="H1039" s="4"/>
    </row>
    <row r="1040" spans="1:8" x14ac:dyDescent="0.25">
      <c r="A1040" s="288"/>
      <c r="B1040" s="268"/>
      <c r="C1040" s="25" t="s">
        <v>6</v>
      </c>
      <c r="D1040" s="265">
        <v>12</v>
      </c>
      <c r="E1040" s="98" t="s">
        <v>220</v>
      </c>
      <c r="F1040" s="15">
        <v>6</v>
      </c>
      <c r="G1040" s="16" t="s">
        <v>165</v>
      </c>
      <c r="H1040" s="4" t="s">
        <v>146</v>
      </c>
    </row>
    <row r="1041" spans="1:8" x14ac:dyDescent="0.25">
      <c r="A1041" s="288"/>
      <c r="B1041" s="268"/>
      <c r="C1041" s="25" t="s">
        <v>13</v>
      </c>
      <c r="D1041" s="263"/>
      <c r="E1041" s="98" t="s">
        <v>220</v>
      </c>
      <c r="F1041" s="15">
        <v>2</v>
      </c>
      <c r="G1041" s="16" t="s">
        <v>165</v>
      </c>
      <c r="H1041" s="4" t="s">
        <v>221</v>
      </c>
    </row>
    <row r="1042" spans="1:8" x14ac:dyDescent="0.25">
      <c r="A1042" s="288"/>
      <c r="B1042" s="268"/>
      <c r="C1042" s="25" t="s">
        <v>13</v>
      </c>
      <c r="D1042" s="263"/>
      <c r="E1042" s="98" t="s">
        <v>73</v>
      </c>
      <c r="F1042" s="15">
        <v>8.1999999999999993</v>
      </c>
      <c r="G1042" s="16" t="s">
        <v>165</v>
      </c>
      <c r="H1042" s="4"/>
    </row>
    <row r="1043" spans="1:8" x14ac:dyDescent="0.25">
      <c r="A1043" s="288"/>
      <c r="B1043" s="268"/>
      <c r="C1043" s="25" t="s">
        <v>13</v>
      </c>
      <c r="D1043" s="263"/>
      <c r="E1043" s="98" t="s">
        <v>222</v>
      </c>
      <c r="F1043" s="15">
        <v>3</v>
      </c>
      <c r="G1043" s="16" t="s">
        <v>165</v>
      </c>
      <c r="H1043" s="4"/>
    </row>
    <row r="1044" spans="1:8" x14ac:dyDescent="0.25">
      <c r="A1044" s="288"/>
      <c r="B1044" s="268"/>
      <c r="C1044" s="25" t="s">
        <v>13</v>
      </c>
      <c r="D1044" s="264"/>
      <c r="E1044" s="98" t="s">
        <v>206</v>
      </c>
      <c r="F1044" s="15">
        <v>4</v>
      </c>
      <c r="G1044" s="16" t="s">
        <v>165</v>
      </c>
      <c r="H1044" s="4"/>
    </row>
    <row r="1045" spans="1:8" x14ac:dyDescent="0.25">
      <c r="A1045" s="289"/>
      <c r="B1045" s="269"/>
      <c r="C1045" s="25" t="s">
        <v>13</v>
      </c>
      <c r="D1045" s="248">
        <v>1</v>
      </c>
      <c r="E1045" s="98" t="s">
        <v>218</v>
      </c>
      <c r="F1045" s="15"/>
      <c r="G1045" s="16" t="s">
        <v>165</v>
      </c>
      <c r="H1045" s="4"/>
    </row>
    <row r="1046" spans="1:8" x14ac:dyDescent="0.25">
      <c r="A1046" s="287">
        <v>46148</v>
      </c>
      <c r="B1046" s="261" t="s">
        <v>5</v>
      </c>
      <c r="C1046" s="25" t="s">
        <v>13</v>
      </c>
      <c r="D1046" s="248">
        <v>3</v>
      </c>
      <c r="E1046" s="98" t="s">
        <v>284</v>
      </c>
      <c r="F1046" s="15"/>
      <c r="G1046" s="16">
        <v>109</v>
      </c>
      <c r="H1046" s="4" t="s">
        <v>146</v>
      </c>
    </row>
    <row r="1047" spans="1:8" x14ac:dyDescent="0.25">
      <c r="A1047" s="288"/>
      <c r="B1047" s="268"/>
      <c r="C1047" s="24" t="s">
        <v>6</v>
      </c>
      <c r="D1047" s="265">
        <v>5</v>
      </c>
      <c r="E1047" s="98" t="s">
        <v>147</v>
      </c>
      <c r="F1047" s="15">
        <v>50</v>
      </c>
      <c r="G1047" s="35">
        <v>109</v>
      </c>
      <c r="H1047" s="4"/>
    </row>
    <row r="1048" spans="1:8" x14ac:dyDescent="0.25">
      <c r="A1048" s="288"/>
      <c r="B1048" s="268"/>
      <c r="C1048" s="24" t="s">
        <v>6</v>
      </c>
      <c r="D1048" s="263"/>
      <c r="E1048" s="98" t="s">
        <v>96</v>
      </c>
      <c r="F1048" s="15">
        <v>6</v>
      </c>
      <c r="G1048" s="16">
        <v>109</v>
      </c>
      <c r="H1048" s="4"/>
    </row>
    <row r="1049" spans="1:8" x14ac:dyDescent="0.25">
      <c r="A1049" s="288"/>
      <c r="B1049" s="268"/>
      <c r="C1049" s="24" t="s">
        <v>6</v>
      </c>
      <c r="D1049" s="264"/>
      <c r="E1049" s="154" t="s">
        <v>205</v>
      </c>
      <c r="F1049" s="15">
        <v>6</v>
      </c>
      <c r="G1049" s="16">
        <v>109</v>
      </c>
      <c r="H1049" s="4"/>
    </row>
    <row r="1050" spans="1:8" x14ac:dyDescent="0.25">
      <c r="A1050" s="288"/>
      <c r="B1050" s="268"/>
      <c r="C1050" s="24" t="s">
        <v>6</v>
      </c>
      <c r="D1050" s="248">
        <v>3</v>
      </c>
      <c r="E1050" s="98" t="s">
        <v>217</v>
      </c>
      <c r="F1050" s="15">
        <v>50</v>
      </c>
      <c r="G1050" s="16">
        <v>109</v>
      </c>
      <c r="H1050" s="4"/>
    </row>
    <row r="1051" spans="1:8" x14ac:dyDescent="0.25">
      <c r="A1051" s="288"/>
      <c r="B1051" s="268"/>
      <c r="C1051" s="24" t="s">
        <v>6</v>
      </c>
      <c r="D1051" s="248">
        <v>4</v>
      </c>
      <c r="E1051" s="98" t="s">
        <v>216</v>
      </c>
      <c r="F1051" s="15">
        <v>6</v>
      </c>
      <c r="G1051" s="16">
        <v>109</v>
      </c>
      <c r="H1051" s="4" t="s">
        <v>146</v>
      </c>
    </row>
    <row r="1052" spans="1:8" x14ac:dyDescent="0.25">
      <c r="A1052" s="288"/>
      <c r="B1052" s="268"/>
      <c r="C1052" s="24" t="s">
        <v>6</v>
      </c>
      <c r="D1052" s="248">
        <v>3</v>
      </c>
      <c r="E1052" s="98" t="s">
        <v>94</v>
      </c>
      <c r="F1052" s="15">
        <v>6</v>
      </c>
      <c r="G1052" s="16">
        <v>109</v>
      </c>
      <c r="H1052" s="4"/>
    </row>
    <row r="1053" spans="1:8" x14ac:dyDescent="0.25">
      <c r="A1053" s="288"/>
      <c r="B1053" s="268"/>
      <c r="C1053" s="24" t="s">
        <v>6</v>
      </c>
      <c r="D1053" s="248">
        <v>5</v>
      </c>
      <c r="E1053" s="154" t="s">
        <v>280</v>
      </c>
      <c r="F1053" s="15"/>
      <c r="G1053" s="16">
        <v>109</v>
      </c>
      <c r="H1053" s="4"/>
    </row>
    <row r="1054" spans="1:8" x14ac:dyDescent="0.25">
      <c r="A1054" s="288"/>
      <c r="B1054" s="268"/>
      <c r="C1054" s="24" t="s">
        <v>6</v>
      </c>
      <c r="D1054" s="248">
        <v>5</v>
      </c>
      <c r="E1054" s="98" t="s">
        <v>256</v>
      </c>
      <c r="F1054" s="15"/>
      <c r="G1054" s="16">
        <v>109</v>
      </c>
      <c r="H1054" s="4"/>
    </row>
    <row r="1055" spans="1:8" x14ac:dyDescent="0.25">
      <c r="A1055" s="288"/>
      <c r="B1055" s="268"/>
      <c r="C1055" s="24" t="s">
        <v>6</v>
      </c>
      <c r="D1055" s="265">
        <v>3</v>
      </c>
      <c r="E1055" s="98" t="s">
        <v>229</v>
      </c>
      <c r="F1055" s="15"/>
      <c r="G1055" s="16">
        <v>109</v>
      </c>
      <c r="H1055" s="4"/>
    </row>
    <row r="1056" spans="1:8" ht="16.5" thickBot="1" x14ac:dyDescent="0.3">
      <c r="A1056" s="288"/>
      <c r="B1056" s="268"/>
      <c r="C1056" s="24" t="s">
        <v>6</v>
      </c>
      <c r="D1056" s="264"/>
      <c r="E1056" s="98" t="s">
        <v>459</v>
      </c>
      <c r="F1056" s="15"/>
      <c r="G1056" s="48">
        <v>112</v>
      </c>
      <c r="H1056" s="49" t="s">
        <v>333</v>
      </c>
    </row>
    <row r="1057" spans="1:8" ht="16.5" thickBot="1" x14ac:dyDescent="0.3">
      <c r="A1057" s="295"/>
      <c r="B1057" s="273"/>
      <c r="C1057" s="25" t="s">
        <v>6</v>
      </c>
      <c r="D1057" s="91">
        <v>9</v>
      </c>
      <c r="E1057" s="159" t="s">
        <v>338</v>
      </c>
      <c r="F1057" s="50"/>
      <c r="G1057" s="48">
        <v>112</v>
      </c>
      <c r="H1057" s="49" t="s">
        <v>333</v>
      </c>
    </row>
    <row r="1058" spans="1:8" ht="16.5" thickBot="1" x14ac:dyDescent="0.3">
      <c r="A1058" s="304">
        <v>46149</v>
      </c>
      <c r="B1058" s="306" t="s">
        <v>36</v>
      </c>
      <c r="C1058" s="51" t="s">
        <v>6</v>
      </c>
      <c r="D1058" s="252">
        <v>10</v>
      </c>
      <c r="E1058" s="160" t="s">
        <v>220</v>
      </c>
      <c r="F1058" s="53">
        <v>10</v>
      </c>
      <c r="G1058" s="54" t="s">
        <v>165</v>
      </c>
      <c r="H1058" s="52" t="s">
        <v>125</v>
      </c>
    </row>
    <row r="1059" spans="1:8" x14ac:dyDescent="0.25">
      <c r="A1059" s="304"/>
      <c r="B1059" s="306"/>
      <c r="C1059" s="55" t="s">
        <v>13</v>
      </c>
      <c r="D1059" s="56">
        <v>6</v>
      </c>
      <c r="E1059" s="154" t="s">
        <v>219</v>
      </c>
      <c r="F1059" s="36">
        <v>2</v>
      </c>
      <c r="G1059" s="38" t="s">
        <v>165</v>
      </c>
      <c r="H1059" s="302" t="s">
        <v>233</v>
      </c>
    </row>
    <row r="1060" spans="1:8" x14ac:dyDescent="0.25">
      <c r="A1060" s="304"/>
      <c r="B1060" s="306"/>
      <c r="C1060" s="57" t="s">
        <v>6</v>
      </c>
      <c r="D1060" s="56"/>
      <c r="E1060" s="154" t="s">
        <v>219</v>
      </c>
      <c r="F1060" s="36">
        <v>2</v>
      </c>
      <c r="G1060" s="38" t="s">
        <v>165</v>
      </c>
      <c r="H1060" s="303"/>
    </row>
    <row r="1061" spans="1:8" x14ac:dyDescent="0.25">
      <c r="A1061" s="304"/>
      <c r="B1061" s="306"/>
      <c r="C1061" s="57" t="s">
        <v>6</v>
      </c>
      <c r="D1061" s="56"/>
      <c r="E1061" s="154" t="s">
        <v>78</v>
      </c>
      <c r="F1061" s="36">
        <v>2.8</v>
      </c>
      <c r="G1061" s="38" t="s">
        <v>165</v>
      </c>
      <c r="H1061" s="47"/>
    </row>
    <row r="1062" spans="1:8" x14ac:dyDescent="0.25">
      <c r="A1062" s="304"/>
      <c r="B1062" s="306"/>
      <c r="C1062" s="57" t="s">
        <v>6</v>
      </c>
      <c r="D1062" s="56"/>
      <c r="E1062" s="154" t="s">
        <v>71</v>
      </c>
      <c r="F1062" s="36">
        <v>2.9</v>
      </c>
      <c r="G1062" s="38" t="s">
        <v>165</v>
      </c>
      <c r="H1062" s="47"/>
    </row>
    <row r="1063" spans="1:8" x14ac:dyDescent="0.25">
      <c r="A1063" s="304"/>
      <c r="B1063" s="306"/>
      <c r="C1063" s="57" t="s">
        <v>6</v>
      </c>
      <c r="D1063" s="56"/>
      <c r="E1063" s="154" t="s">
        <v>85</v>
      </c>
      <c r="F1063" s="36">
        <v>1</v>
      </c>
      <c r="G1063" s="38" t="s">
        <v>165</v>
      </c>
      <c r="H1063" s="47"/>
    </row>
    <row r="1064" spans="1:8" x14ac:dyDescent="0.25">
      <c r="A1064" s="304"/>
      <c r="B1064" s="306"/>
      <c r="C1064" s="57" t="s">
        <v>6</v>
      </c>
      <c r="D1064" s="56"/>
      <c r="E1064" s="154" t="s">
        <v>206</v>
      </c>
      <c r="F1064" s="36">
        <v>4</v>
      </c>
      <c r="G1064" s="38" t="s">
        <v>165</v>
      </c>
      <c r="H1064" s="47"/>
    </row>
    <row r="1065" spans="1:8" ht="31.5" x14ac:dyDescent="0.25">
      <c r="A1065" s="304"/>
      <c r="B1065" s="306"/>
      <c r="C1065" s="57" t="s">
        <v>6</v>
      </c>
      <c r="D1065" s="56">
        <v>4</v>
      </c>
      <c r="E1065" s="98" t="s">
        <v>97</v>
      </c>
      <c r="F1065" s="36">
        <v>2</v>
      </c>
      <c r="G1065" s="38" t="s">
        <v>165</v>
      </c>
      <c r="H1065" s="47" t="s">
        <v>235</v>
      </c>
    </row>
    <row r="1066" spans="1:8" x14ac:dyDescent="0.25">
      <c r="A1066" s="304"/>
      <c r="B1066" s="306"/>
      <c r="C1066" s="57" t="s">
        <v>13</v>
      </c>
      <c r="D1066" s="56">
        <v>2</v>
      </c>
      <c r="E1066" s="154" t="s">
        <v>94</v>
      </c>
      <c r="F1066" s="36">
        <v>2</v>
      </c>
      <c r="G1066" s="38"/>
      <c r="H1066" s="47"/>
    </row>
    <row r="1067" spans="1:8" x14ac:dyDescent="0.25">
      <c r="A1067" s="305"/>
      <c r="B1067" s="307"/>
      <c r="C1067" s="57" t="s">
        <v>13</v>
      </c>
      <c r="D1067" s="56">
        <v>3</v>
      </c>
      <c r="E1067" s="154" t="s">
        <v>218</v>
      </c>
      <c r="F1067" s="36"/>
      <c r="G1067" s="38">
        <v>116</v>
      </c>
      <c r="H1067" s="47" t="s">
        <v>234</v>
      </c>
    </row>
    <row r="1068" spans="1:8" x14ac:dyDescent="0.25">
      <c r="A1068" s="347">
        <v>46149</v>
      </c>
      <c r="B1068" s="345" t="s">
        <v>5</v>
      </c>
      <c r="C1068" s="57" t="s">
        <v>13</v>
      </c>
      <c r="D1068" s="248">
        <v>3</v>
      </c>
      <c r="E1068" s="98" t="s">
        <v>284</v>
      </c>
      <c r="F1068" s="15"/>
      <c r="G1068" s="35"/>
      <c r="H1068" s="4"/>
    </row>
    <row r="1069" spans="1:8" x14ac:dyDescent="0.25">
      <c r="A1069" s="304"/>
      <c r="B1069" s="306"/>
      <c r="C1069" s="23" t="s">
        <v>6</v>
      </c>
      <c r="D1069" s="265">
        <v>5</v>
      </c>
      <c r="E1069" s="98" t="s">
        <v>199</v>
      </c>
      <c r="F1069" s="15">
        <f>7.5-F922</f>
        <v>3.9</v>
      </c>
      <c r="G1069" s="35">
        <v>108</v>
      </c>
      <c r="H1069" s="4"/>
    </row>
    <row r="1070" spans="1:8" x14ac:dyDescent="0.25">
      <c r="A1070" s="304"/>
      <c r="B1070" s="306"/>
      <c r="C1070" s="25" t="s">
        <v>6</v>
      </c>
      <c r="D1070" s="264"/>
      <c r="E1070" s="98" t="s">
        <v>147</v>
      </c>
      <c r="F1070" s="15">
        <v>23</v>
      </c>
      <c r="G1070" s="35">
        <v>108</v>
      </c>
      <c r="H1070" s="4" t="s">
        <v>125</v>
      </c>
    </row>
    <row r="1071" spans="1:8" x14ac:dyDescent="0.25">
      <c r="A1071" s="304"/>
      <c r="B1071" s="306"/>
      <c r="C1071" s="25" t="s">
        <v>6</v>
      </c>
      <c r="D1071" s="248">
        <v>3</v>
      </c>
      <c r="E1071" s="98" t="s">
        <v>205</v>
      </c>
      <c r="F1071" s="15">
        <v>2</v>
      </c>
      <c r="G1071" s="16">
        <v>108</v>
      </c>
      <c r="H1071" s="4"/>
    </row>
    <row r="1072" spans="1:8" x14ac:dyDescent="0.25">
      <c r="A1072" s="304"/>
      <c r="B1072" s="306"/>
      <c r="C1072" s="25" t="s">
        <v>6</v>
      </c>
      <c r="D1072" s="248">
        <v>3</v>
      </c>
      <c r="E1072" s="98" t="s">
        <v>216</v>
      </c>
      <c r="F1072" s="15">
        <v>10</v>
      </c>
      <c r="G1072" s="35">
        <v>103</v>
      </c>
      <c r="H1072" s="4" t="s">
        <v>125</v>
      </c>
    </row>
    <row r="1073" spans="1:8" x14ac:dyDescent="0.25">
      <c r="A1073" s="304"/>
      <c r="B1073" s="306"/>
      <c r="C1073" s="25" t="s">
        <v>6</v>
      </c>
      <c r="D1073" s="248">
        <v>3</v>
      </c>
      <c r="E1073" s="98" t="s">
        <v>94</v>
      </c>
      <c r="F1073" s="15">
        <v>10</v>
      </c>
      <c r="G1073" s="35">
        <v>103</v>
      </c>
      <c r="H1073" s="4"/>
    </row>
    <row r="1074" spans="1:8" x14ac:dyDescent="0.25">
      <c r="A1074" s="304"/>
      <c r="B1074" s="306"/>
      <c r="C1074" s="25" t="s">
        <v>6</v>
      </c>
      <c r="D1074" s="248">
        <v>3</v>
      </c>
      <c r="E1074" s="98" t="s">
        <v>82</v>
      </c>
      <c r="F1074" s="15">
        <v>4</v>
      </c>
      <c r="G1074" s="35">
        <v>116</v>
      </c>
      <c r="H1074" s="4" t="s">
        <v>232</v>
      </c>
    </row>
    <row r="1075" spans="1:8" x14ac:dyDescent="0.25">
      <c r="A1075" s="304"/>
      <c r="B1075" s="306"/>
      <c r="C1075" s="25" t="s">
        <v>6</v>
      </c>
      <c r="D1075" s="245">
        <v>3</v>
      </c>
      <c r="E1075" s="98" t="s">
        <v>205</v>
      </c>
      <c r="F1075" s="15">
        <v>6</v>
      </c>
      <c r="G1075" s="44">
        <v>107</v>
      </c>
      <c r="H1075" s="4"/>
    </row>
    <row r="1076" spans="1:8" x14ac:dyDescent="0.25">
      <c r="A1076" s="304"/>
      <c r="B1076" s="306"/>
      <c r="C1076" s="25" t="s">
        <v>6</v>
      </c>
      <c r="D1076" s="265">
        <v>5</v>
      </c>
      <c r="E1076" s="98" t="s">
        <v>71</v>
      </c>
      <c r="F1076" s="15">
        <v>3</v>
      </c>
      <c r="G1076" s="44">
        <v>107</v>
      </c>
      <c r="H1076" s="4" t="s">
        <v>231</v>
      </c>
    </row>
    <row r="1077" spans="1:8" x14ac:dyDescent="0.25">
      <c r="A1077" s="304"/>
      <c r="B1077" s="306"/>
      <c r="C1077" s="25" t="s">
        <v>6</v>
      </c>
      <c r="D1077" s="263"/>
      <c r="E1077" s="98" t="s">
        <v>82</v>
      </c>
      <c r="F1077" s="15">
        <v>4</v>
      </c>
      <c r="G1077" s="44">
        <v>107</v>
      </c>
      <c r="H1077" s="4" t="s">
        <v>230</v>
      </c>
    </row>
    <row r="1078" spans="1:8" x14ac:dyDescent="0.25">
      <c r="A1078" s="304"/>
      <c r="B1078" s="306"/>
      <c r="C1078" s="25" t="s">
        <v>6</v>
      </c>
      <c r="D1078" s="264"/>
      <c r="E1078" s="98" t="s">
        <v>71</v>
      </c>
      <c r="F1078" s="15">
        <v>3</v>
      </c>
      <c r="G1078" s="44">
        <v>107</v>
      </c>
      <c r="H1078" s="4" t="s">
        <v>230</v>
      </c>
    </row>
    <row r="1079" spans="1:8" x14ac:dyDescent="0.25">
      <c r="A1079" s="304"/>
      <c r="B1079" s="306"/>
      <c r="C1079" s="25" t="s">
        <v>6</v>
      </c>
      <c r="D1079" s="310">
        <v>3</v>
      </c>
      <c r="E1079" s="98" t="s">
        <v>229</v>
      </c>
      <c r="F1079" s="36"/>
      <c r="G1079" s="38"/>
      <c r="H1079" s="47"/>
    </row>
    <row r="1080" spans="1:8" ht="16.5" thickBot="1" x14ac:dyDescent="0.3">
      <c r="A1080" s="304"/>
      <c r="B1080" s="306"/>
      <c r="C1080" s="57" t="s">
        <v>6</v>
      </c>
      <c r="D1080" s="309"/>
      <c r="E1080" s="98" t="s">
        <v>459</v>
      </c>
      <c r="F1080" s="36"/>
      <c r="G1080" s="38"/>
      <c r="H1080" s="49" t="s">
        <v>334</v>
      </c>
    </row>
    <row r="1081" spans="1:8" ht="16.5" thickBot="1" x14ac:dyDescent="0.3">
      <c r="A1081" s="348"/>
      <c r="B1081" s="346"/>
      <c r="C1081" s="58" t="s">
        <v>6</v>
      </c>
      <c r="D1081" s="59">
        <v>9</v>
      </c>
      <c r="E1081" s="159" t="s">
        <v>338</v>
      </c>
      <c r="F1081" s="60"/>
      <c r="G1081" s="61">
        <v>112</v>
      </c>
      <c r="H1081" s="49" t="s">
        <v>334</v>
      </c>
    </row>
    <row r="1082" spans="1:8" x14ac:dyDescent="0.25">
      <c r="A1082" s="304">
        <v>46150</v>
      </c>
      <c r="B1082" s="306" t="s">
        <v>36</v>
      </c>
      <c r="C1082" s="55" t="s">
        <v>13</v>
      </c>
      <c r="D1082" s="308">
        <v>5</v>
      </c>
      <c r="E1082" s="160" t="s">
        <v>71</v>
      </c>
      <c r="F1082" s="53">
        <v>3</v>
      </c>
      <c r="G1082" s="54" t="s">
        <v>165</v>
      </c>
      <c r="H1082" s="52" t="s">
        <v>125</v>
      </c>
    </row>
    <row r="1083" spans="1:8" x14ac:dyDescent="0.25">
      <c r="A1083" s="304"/>
      <c r="B1083" s="306"/>
      <c r="C1083" s="55" t="s">
        <v>13</v>
      </c>
      <c r="D1083" s="308"/>
      <c r="E1083" s="154" t="s">
        <v>78</v>
      </c>
      <c r="F1083" s="36">
        <v>3</v>
      </c>
      <c r="G1083" s="38"/>
      <c r="H1083" s="302"/>
    </row>
    <row r="1084" spans="1:8" x14ac:dyDescent="0.25">
      <c r="A1084" s="304"/>
      <c r="B1084" s="306"/>
      <c r="C1084" s="55" t="s">
        <v>13</v>
      </c>
      <c r="D1084" s="308"/>
      <c r="E1084" s="154" t="s">
        <v>206</v>
      </c>
      <c r="F1084" s="36">
        <v>6</v>
      </c>
      <c r="G1084" s="38"/>
      <c r="H1084" s="303"/>
    </row>
    <row r="1085" spans="1:8" x14ac:dyDescent="0.25">
      <c r="A1085" s="304"/>
      <c r="B1085" s="306"/>
      <c r="C1085" s="55" t="s">
        <v>13</v>
      </c>
      <c r="D1085" s="308"/>
      <c r="E1085" s="154" t="s">
        <v>85</v>
      </c>
      <c r="F1085" s="36">
        <v>2</v>
      </c>
      <c r="G1085" s="38"/>
      <c r="H1085" s="47"/>
    </row>
    <row r="1086" spans="1:8" x14ac:dyDescent="0.25">
      <c r="A1086" s="304"/>
      <c r="B1086" s="306"/>
      <c r="C1086" s="55" t="s">
        <v>13</v>
      </c>
      <c r="D1086" s="308"/>
      <c r="E1086" s="154" t="s">
        <v>219</v>
      </c>
      <c r="F1086" s="36">
        <v>2</v>
      </c>
      <c r="G1086" s="38"/>
      <c r="H1086" s="302" t="s">
        <v>233</v>
      </c>
    </row>
    <row r="1087" spans="1:8" x14ac:dyDescent="0.25">
      <c r="A1087" s="304"/>
      <c r="B1087" s="306"/>
      <c r="C1087" s="55" t="s">
        <v>13</v>
      </c>
      <c r="D1087" s="309"/>
      <c r="E1087" s="154" t="s">
        <v>236</v>
      </c>
      <c r="F1087" s="36">
        <v>2</v>
      </c>
      <c r="G1087" s="38"/>
      <c r="H1087" s="303"/>
    </row>
    <row r="1088" spans="1:8" x14ac:dyDescent="0.25">
      <c r="A1088" s="304"/>
      <c r="B1088" s="306"/>
      <c r="C1088" s="55" t="s">
        <v>13</v>
      </c>
      <c r="D1088" s="56">
        <v>6</v>
      </c>
      <c r="E1088" s="154" t="s">
        <v>199</v>
      </c>
      <c r="F1088" s="36">
        <v>7.5</v>
      </c>
      <c r="G1088" s="38">
        <v>103</v>
      </c>
      <c r="H1088" s="47" t="s">
        <v>125</v>
      </c>
    </row>
    <row r="1089" spans="1:8" x14ac:dyDescent="0.25">
      <c r="A1089" s="304"/>
      <c r="B1089" s="306"/>
      <c r="C1089" s="55" t="s">
        <v>13</v>
      </c>
      <c r="D1089" s="310">
        <v>11</v>
      </c>
      <c r="E1089" s="154" t="s">
        <v>220</v>
      </c>
      <c r="F1089" s="36">
        <v>6</v>
      </c>
      <c r="G1089" s="38" t="s">
        <v>165</v>
      </c>
      <c r="H1089" s="47"/>
    </row>
    <row r="1090" spans="1:8" x14ac:dyDescent="0.25">
      <c r="A1090" s="304"/>
      <c r="B1090" s="306"/>
      <c r="C1090" s="55" t="s">
        <v>13</v>
      </c>
      <c r="D1090" s="309"/>
      <c r="E1090" s="154" t="s">
        <v>220</v>
      </c>
      <c r="F1090" s="36">
        <v>2</v>
      </c>
      <c r="G1090" s="38"/>
      <c r="H1090" s="47" t="s">
        <v>237</v>
      </c>
    </row>
    <row r="1091" spans="1:8" x14ac:dyDescent="0.25">
      <c r="A1091" s="304"/>
      <c r="B1091" s="306"/>
      <c r="C1091" s="57" t="s">
        <v>6</v>
      </c>
      <c r="D1091" s="56">
        <v>2</v>
      </c>
      <c r="E1091" s="154" t="s">
        <v>280</v>
      </c>
      <c r="F1091" s="36"/>
      <c r="G1091" s="38"/>
      <c r="H1091" s="47"/>
    </row>
    <row r="1092" spans="1:8" x14ac:dyDescent="0.25">
      <c r="A1092" s="305"/>
      <c r="B1092" s="307"/>
      <c r="C1092" s="57" t="s">
        <v>6</v>
      </c>
      <c r="D1092" s="248"/>
      <c r="E1092" s="98" t="s">
        <v>218</v>
      </c>
      <c r="F1092" s="15"/>
      <c r="G1092" s="35"/>
      <c r="H1092" s="4"/>
    </row>
    <row r="1093" spans="1:8" x14ac:dyDescent="0.25">
      <c r="A1093" s="287">
        <v>46150</v>
      </c>
      <c r="B1093" s="261" t="s">
        <v>5</v>
      </c>
      <c r="C1093" s="25" t="s">
        <v>6</v>
      </c>
      <c r="D1093" s="265">
        <v>6</v>
      </c>
      <c r="E1093" s="98" t="s">
        <v>337</v>
      </c>
      <c r="F1093" s="15">
        <v>1</v>
      </c>
      <c r="G1093" s="35">
        <v>117</v>
      </c>
      <c r="H1093" s="4" t="s">
        <v>335</v>
      </c>
    </row>
    <row r="1094" spans="1:8" x14ac:dyDescent="0.25">
      <c r="A1094" s="288"/>
      <c r="B1094" s="268"/>
      <c r="C1094" s="25" t="s">
        <v>6</v>
      </c>
      <c r="D1094" s="264"/>
      <c r="E1094" s="98" t="s">
        <v>337</v>
      </c>
      <c r="F1094" s="15">
        <v>1</v>
      </c>
      <c r="G1094" s="35">
        <v>112</v>
      </c>
      <c r="H1094" s="4" t="s">
        <v>336</v>
      </c>
    </row>
    <row r="1095" spans="1:8" x14ac:dyDescent="0.25">
      <c r="A1095" s="288"/>
      <c r="B1095" s="268"/>
      <c r="C1095" s="25" t="s">
        <v>6</v>
      </c>
      <c r="D1095" s="248">
        <v>4</v>
      </c>
      <c r="E1095" s="98" t="s">
        <v>151</v>
      </c>
      <c r="F1095" s="15">
        <v>30</v>
      </c>
      <c r="G1095" s="35" t="s">
        <v>75</v>
      </c>
      <c r="H1095" s="4"/>
    </row>
    <row r="1096" spans="1:8" x14ac:dyDescent="0.25">
      <c r="A1096" s="288"/>
      <c r="B1096" s="268"/>
      <c r="C1096" s="25" t="s">
        <v>6</v>
      </c>
      <c r="D1096" s="248">
        <v>3</v>
      </c>
      <c r="E1096" s="98" t="s">
        <v>217</v>
      </c>
      <c r="F1096" s="15">
        <v>60</v>
      </c>
      <c r="G1096" s="35">
        <v>103</v>
      </c>
      <c r="H1096" s="47" t="s">
        <v>125</v>
      </c>
    </row>
    <row r="1097" spans="1:8" x14ac:dyDescent="0.25">
      <c r="A1097" s="288"/>
      <c r="B1097" s="268"/>
      <c r="C1097" s="25" t="s">
        <v>6</v>
      </c>
      <c r="D1097" s="248">
        <v>3</v>
      </c>
      <c r="E1097" s="98" t="s">
        <v>217</v>
      </c>
      <c r="F1097" s="15">
        <v>60</v>
      </c>
      <c r="G1097" s="35">
        <v>104</v>
      </c>
      <c r="H1097" s="4"/>
    </row>
    <row r="1098" spans="1:8" x14ac:dyDescent="0.25">
      <c r="A1098" s="288"/>
      <c r="B1098" s="268"/>
      <c r="C1098" s="25" t="s">
        <v>6</v>
      </c>
      <c r="D1098" s="248">
        <v>4</v>
      </c>
      <c r="E1098" s="98" t="s">
        <v>217</v>
      </c>
      <c r="F1098" s="15">
        <v>60</v>
      </c>
      <c r="G1098" s="35">
        <v>105</v>
      </c>
      <c r="H1098" s="4"/>
    </row>
    <row r="1099" spans="1:8" x14ac:dyDescent="0.25">
      <c r="A1099" s="288"/>
      <c r="B1099" s="268"/>
      <c r="C1099" s="25" t="s">
        <v>6</v>
      </c>
      <c r="D1099" s="248"/>
      <c r="E1099" s="98" t="s">
        <v>216</v>
      </c>
      <c r="F1099" s="15">
        <v>4</v>
      </c>
      <c r="G1099" s="35">
        <v>105</v>
      </c>
      <c r="H1099" s="4"/>
    </row>
    <row r="1100" spans="1:8" x14ac:dyDescent="0.25">
      <c r="A1100" s="288"/>
      <c r="B1100" s="268"/>
      <c r="C1100" s="25" t="s">
        <v>6</v>
      </c>
      <c r="D1100" s="248"/>
      <c r="E1100" s="98" t="s">
        <v>94</v>
      </c>
      <c r="F1100" s="15">
        <v>4</v>
      </c>
      <c r="G1100" s="35">
        <v>105</v>
      </c>
      <c r="H1100" s="4"/>
    </row>
    <row r="1101" spans="1:8" x14ac:dyDescent="0.25">
      <c r="A1101" s="288"/>
      <c r="B1101" s="268"/>
      <c r="C1101" s="25" t="s">
        <v>6</v>
      </c>
      <c r="D1101" s="248">
        <v>4</v>
      </c>
      <c r="E1101" s="98" t="s">
        <v>96</v>
      </c>
      <c r="F1101" s="15">
        <v>6</v>
      </c>
      <c r="G1101" s="35">
        <v>116</v>
      </c>
      <c r="H1101" s="47" t="s">
        <v>125</v>
      </c>
    </row>
    <row r="1102" spans="1:8" x14ac:dyDescent="0.25">
      <c r="A1102" s="288"/>
      <c r="B1102" s="268"/>
      <c r="C1102" s="25" t="s">
        <v>6</v>
      </c>
      <c r="D1102" s="248"/>
      <c r="E1102" s="98" t="s">
        <v>212</v>
      </c>
      <c r="F1102" s="15">
        <v>10</v>
      </c>
      <c r="G1102" s="35">
        <v>116</v>
      </c>
      <c r="H1102" s="4"/>
    </row>
    <row r="1103" spans="1:8" x14ac:dyDescent="0.25">
      <c r="A1103" s="288"/>
      <c r="B1103" s="268"/>
      <c r="C1103" s="25" t="s">
        <v>6</v>
      </c>
      <c r="D1103" s="248"/>
      <c r="E1103" s="98" t="s">
        <v>94</v>
      </c>
      <c r="F1103" s="15">
        <v>6</v>
      </c>
      <c r="G1103" s="35">
        <v>116</v>
      </c>
      <c r="H1103" s="4"/>
    </row>
    <row r="1104" spans="1:8" x14ac:dyDescent="0.25">
      <c r="A1104" s="288"/>
      <c r="B1104" s="268"/>
      <c r="C1104" s="25" t="s">
        <v>6</v>
      </c>
      <c r="D1104" s="248"/>
      <c r="E1104" s="98" t="s">
        <v>213</v>
      </c>
      <c r="F1104" s="15">
        <v>10</v>
      </c>
      <c r="G1104" s="35">
        <v>116</v>
      </c>
      <c r="H1104" s="4"/>
    </row>
    <row r="1105" spans="1:8" x14ac:dyDescent="0.25">
      <c r="A1105" s="288"/>
      <c r="B1105" s="268"/>
      <c r="C1105" s="25" t="s">
        <v>6</v>
      </c>
      <c r="D1105" s="248">
        <v>8</v>
      </c>
      <c r="E1105" s="98" t="s">
        <v>147</v>
      </c>
      <c r="F1105" s="15">
        <v>47</v>
      </c>
      <c r="G1105" s="35">
        <v>108</v>
      </c>
      <c r="H1105" s="47" t="s">
        <v>125</v>
      </c>
    </row>
    <row r="1106" spans="1:8" x14ac:dyDescent="0.25">
      <c r="A1106" s="288"/>
      <c r="B1106" s="268"/>
      <c r="C1106" s="25" t="s">
        <v>6</v>
      </c>
      <c r="D1106" s="248"/>
      <c r="E1106" s="98" t="s">
        <v>205</v>
      </c>
      <c r="F1106" s="15">
        <v>4</v>
      </c>
      <c r="G1106" s="35">
        <v>108</v>
      </c>
      <c r="H1106" s="4"/>
    </row>
    <row r="1107" spans="1:8" x14ac:dyDescent="0.25">
      <c r="A1107" s="288"/>
      <c r="B1107" s="268"/>
      <c r="C1107" s="25" t="s">
        <v>6</v>
      </c>
      <c r="D1107" s="248"/>
      <c r="E1107" s="98" t="s">
        <v>96</v>
      </c>
      <c r="F1107" s="15">
        <v>12</v>
      </c>
      <c r="G1107" s="35">
        <v>108</v>
      </c>
      <c r="H1107" s="4"/>
    </row>
    <row r="1108" spans="1:8" x14ac:dyDescent="0.25">
      <c r="A1108" s="288"/>
      <c r="B1108" s="268"/>
      <c r="C1108" s="25" t="s">
        <v>6</v>
      </c>
      <c r="D1108" s="254"/>
      <c r="E1108" s="158" t="s">
        <v>199</v>
      </c>
      <c r="F1108" s="39">
        <v>3.6</v>
      </c>
      <c r="G1108" s="35">
        <v>108</v>
      </c>
      <c r="H1108" s="47" t="s">
        <v>125</v>
      </c>
    </row>
    <row r="1109" spans="1:8" x14ac:dyDescent="0.25">
      <c r="A1109" s="288"/>
      <c r="B1109" s="268"/>
      <c r="C1109" s="25" t="s">
        <v>6</v>
      </c>
      <c r="D1109" s="254">
        <v>2</v>
      </c>
      <c r="E1109" s="98" t="s">
        <v>218</v>
      </c>
      <c r="F1109" s="5"/>
      <c r="G1109" s="5"/>
      <c r="H1109" s="5"/>
    </row>
    <row r="1110" spans="1:8" ht="16.5" thickBot="1" x14ac:dyDescent="0.3">
      <c r="A1110" s="288"/>
      <c r="B1110" s="268"/>
      <c r="C1110" s="24" t="s">
        <v>6</v>
      </c>
      <c r="D1110" s="250">
        <v>6</v>
      </c>
      <c r="E1110" s="161" t="s">
        <v>256</v>
      </c>
      <c r="F1110" s="62"/>
      <c r="G1110" s="62"/>
      <c r="H1110" s="62"/>
    </row>
    <row r="1111" spans="1:8" x14ac:dyDescent="0.25">
      <c r="A1111" s="299">
        <v>46151</v>
      </c>
      <c r="B1111" s="296" t="s">
        <v>36</v>
      </c>
      <c r="C1111" s="63" t="s">
        <v>13</v>
      </c>
      <c r="D1111" s="368">
        <v>5</v>
      </c>
      <c r="E1111" s="162" t="s">
        <v>63</v>
      </c>
      <c r="F1111" s="63">
        <v>5</v>
      </c>
      <c r="G1111" s="63" t="s">
        <v>165</v>
      </c>
      <c r="H1111" s="64" t="s">
        <v>125</v>
      </c>
    </row>
    <row r="1112" spans="1:8" ht="31.5" x14ac:dyDescent="0.25">
      <c r="A1112" s="300"/>
      <c r="B1112" s="297"/>
      <c r="C1112" s="5" t="s">
        <v>13</v>
      </c>
      <c r="D1112" s="343"/>
      <c r="E1112" s="96" t="s">
        <v>85</v>
      </c>
      <c r="F1112" s="5">
        <v>6</v>
      </c>
      <c r="G1112" s="5" t="s">
        <v>165</v>
      </c>
      <c r="H1112" s="65" t="s">
        <v>239</v>
      </c>
    </row>
    <row r="1113" spans="1:8" x14ac:dyDescent="0.25">
      <c r="A1113" s="300"/>
      <c r="B1113" s="297"/>
      <c r="C1113" s="5" t="s">
        <v>13</v>
      </c>
      <c r="D1113" s="342">
        <v>10</v>
      </c>
      <c r="E1113" s="96" t="s">
        <v>241</v>
      </c>
      <c r="F1113" s="5">
        <v>12</v>
      </c>
      <c r="G1113" s="5">
        <v>103</v>
      </c>
      <c r="H1113" s="66" t="s">
        <v>125</v>
      </c>
    </row>
    <row r="1114" spans="1:8" x14ac:dyDescent="0.25">
      <c r="A1114" s="300"/>
      <c r="B1114" s="297"/>
      <c r="C1114" s="5" t="s">
        <v>13</v>
      </c>
      <c r="D1114" s="344"/>
      <c r="E1114" s="96" t="s">
        <v>242</v>
      </c>
      <c r="F1114" s="5">
        <v>6</v>
      </c>
      <c r="G1114" s="5">
        <v>103</v>
      </c>
      <c r="H1114" s="66" t="s">
        <v>240</v>
      </c>
    </row>
    <row r="1115" spans="1:8" x14ac:dyDescent="0.25">
      <c r="A1115" s="300"/>
      <c r="B1115" s="297"/>
      <c r="C1115" s="5" t="s">
        <v>13</v>
      </c>
      <c r="D1115" s="344"/>
      <c r="E1115" s="96" t="s">
        <v>147</v>
      </c>
      <c r="F1115" s="5">
        <v>28</v>
      </c>
      <c r="G1115" s="5">
        <v>103</v>
      </c>
      <c r="H1115" s="66"/>
    </row>
    <row r="1116" spans="1:8" x14ac:dyDescent="0.25">
      <c r="A1116" s="300"/>
      <c r="B1116" s="297"/>
      <c r="C1116" s="5" t="s">
        <v>13</v>
      </c>
      <c r="D1116" s="344"/>
      <c r="E1116" s="96" t="s">
        <v>96</v>
      </c>
      <c r="F1116" s="5">
        <v>6</v>
      </c>
      <c r="G1116" s="5">
        <v>103</v>
      </c>
      <c r="H1116" s="66"/>
    </row>
    <row r="1117" spans="1:8" x14ac:dyDescent="0.25">
      <c r="A1117" s="300"/>
      <c r="B1117" s="297"/>
      <c r="C1117" s="5" t="s">
        <v>13</v>
      </c>
      <c r="D1117" s="343"/>
      <c r="E1117" s="96" t="s">
        <v>205</v>
      </c>
      <c r="F1117" s="5">
        <v>4</v>
      </c>
      <c r="G1117" s="5">
        <v>103</v>
      </c>
      <c r="H1117" s="66"/>
    </row>
    <row r="1118" spans="1:8" ht="31.5" x14ac:dyDescent="0.25">
      <c r="A1118" s="300"/>
      <c r="B1118" s="297"/>
      <c r="C1118" s="5" t="s">
        <v>13</v>
      </c>
      <c r="D1118" s="254">
        <v>2</v>
      </c>
      <c r="E1118" s="98" t="s">
        <v>282</v>
      </c>
      <c r="F1118" s="5">
        <v>2</v>
      </c>
      <c r="G1118" s="5">
        <v>101</v>
      </c>
      <c r="H1118" s="65" t="s">
        <v>281</v>
      </c>
    </row>
    <row r="1119" spans="1:8" x14ac:dyDescent="0.25">
      <c r="A1119" s="300"/>
      <c r="B1119" s="297"/>
      <c r="C1119" s="5" t="s">
        <v>6</v>
      </c>
      <c r="D1119" s="342">
        <v>8</v>
      </c>
      <c r="E1119" s="96" t="s">
        <v>220</v>
      </c>
      <c r="F1119" s="5">
        <v>1</v>
      </c>
      <c r="G1119" s="5" t="s">
        <v>165</v>
      </c>
      <c r="H1119" s="66" t="s">
        <v>125</v>
      </c>
    </row>
    <row r="1120" spans="1:8" x14ac:dyDescent="0.25">
      <c r="A1120" s="300"/>
      <c r="B1120" s="297"/>
      <c r="C1120" s="5" t="s">
        <v>6</v>
      </c>
      <c r="D1120" s="344"/>
      <c r="E1120" s="96" t="s">
        <v>93</v>
      </c>
      <c r="F1120" s="5">
        <v>6</v>
      </c>
      <c r="G1120" s="5" t="s">
        <v>165</v>
      </c>
      <c r="H1120" s="66" t="s">
        <v>244</v>
      </c>
    </row>
    <row r="1121" spans="1:8" x14ac:dyDescent="0.25">
      <c r="A1121" s="300"/>
      <c r="B1121" s="297"/>
      <c r="C1121" s="5" t="s">
        <v>6</v>
      </c>
      <c r="D1121" s="344"/>
      <c r="E1121" s="96" t="s">
        <v>93</v>
      </c>
      <c r="F1121" s="5">
        <v>6</v>
      </c>
      <c r="G1121" s="5" t="s">
        <v>165</v>
      </c>
      <c r="H1121" s="66" t="s">
        <v>243</v>
      </c>
    </row>
    <row r="1122" spans="1:8" x14ac:dyDescent="0.25">
      <c r="A1122" s="301"/>
      <c r="B1122" s="298"/>
      <c r="C1122" s="5" t="s">
        <v>6</v>
      </c>
      <c r="D1122" s="343"/>
      <c r="E1122" s="96" t="s">
        <v>58</v>
      </c>
      <c r="F1122" s="5">
        <v>0.5</v>
      </c>
      <c r="G1122" s="5" t="s">
        <v>165</v>
      </c>
      <c r="H1122" s="66"/>
    </row>
    <row r="1123" spans="1:8" x14ac:dyDescent="0.25">
      <c r="A1123" s="341">
        <v>46151</v>
      </c>
      <c r="B1123" s="321" t="s">
        <v>5</v>
      </c>
      <c r="C1123" s="5" t="s">
        <v>6</v>
      </c>
      <c r="D1123" s="254">
        <v>4</v>
      </c>
      <c r="E1123" s="98" t="s">
        <v>337</v>
      </c>
      <c r="F1123" s="5">
        <v>1</v>
      </c>
      <c r="G1123" s="5">
        <v>112</v>
      </c>
      <c r="H1123" s="4" t="s">
        <v>335</v>
      </c>
    </row>
    <row r="1124" spans="1:8" x14ac:dyDescent="0.25">
      <c r="A1124" s="300"/>
      <c r="B1124" s="297"/>
      <c r="C1124" s="5" t="s">
        <v>6</v>
      </c>
      <c r="D1124" s="254"/>
      <c r="E1124" s="98" t="s">
        <v>337</v>
      </c>
      <c r="F1124" s="5">
        <v>1</v>
      </c>
      <c r="G1124" s="5">
        <v>117</v>
      </c>
      <c r="H1124" s="4" t="s">
        <v>336</v>
      </c>
    </row>
    <row r="1125" spans="1:8" x14ac:dyDescent="0.25">
      <c r="A1125" s="300"/>
      <c r="B1125" s="297"/>
      <c r="C1125" s="5" t="s">
        <v>6</v>
      </c>
      <c r="D1125" s="254">
        <v>2</v>
      </c>
      <c r="E1125" s="96" t="s">
        <v>245</v>
      </c>
      <c r="F1125" s="5">
        <v>1</v>
      </c>
      <c r="G1125" s="5">
        <v>112</v>
      </c>
      <c r="H1125" s="66"/>
    </row>
    <row r="1126" spans="1:8" x14ac:dyDescent="0.25">
      <c r="A1126" s="300"/>
      <c r="B1126" s="297"/>
      <c r="C1126" s="5" t="s">
        <v>6</v>
      </c>
      <c r="D1126" s="254"/>
      <c r="E1126" s="96" t="s">
        <v>247</v>
      </c>
      <c r="F1126" s="5">
        <v>1</v>
      </c>
      <c r="G1126" s="5">
        <v>112</v>
      </c>
      <c r="H1126" s="66"/>
    </row>
    <row r="1127" spans="1:8" x14ac:dyDescent="0.25">
      <c r="A1127" s="300"/>
      <c r="B1127" s="297"/>
      <c r="C1127" s="5" t="s">
        <v>6</v>
      </c>
      <c r="D1127" s="254"/>
      <c r="E1127" s="96" t="s">
        <v>249</v>
      </c>
      <c r="F1127" s="5">
        <v>1</v>
      </c>
      <c r="G1127" s="5">
        <v>112</v>
      </c>
      <c r="H1127" s="66"/>
    </row>
    <row r="1128" spans="1:8" x14ac:dyDescent="0.25">
      <c r="A1128" s="300"/>
      <c r="B1128" s="297"/>
      <c r="C1128" s="5" t="s">
        <v>6</v>
      </c>
      <c r="D1128" s="254"/>
      <c r="E1128" s="96" t="s">
        <v>246</v>
      </c>
      <c r="F1128" s="5">
        <v>1</v>
      </c>
      <c r="G1128" s="5">
        <v>117</v>
      </c>
      <c r="H1128" s="66"/>
    </row>
    <row r="1129" spans="1:8" x14ac:dyDescent="0.25">
      <c r="A1129" s="300"/>
      <c r="B1129" s="297"/>
      <c r="C1129" s="5" t="s">
        <v>6</v>
      </c>
      <c r="D1129" s="254"/>
      <c r="E1129" s="96" t="s">
        <v>248</v>
      </c>
      <c r="F1129" s="5">
        <v>1</v>
      </c>
      <c r="G1129" s="5">
        <v>117</v>
      </c>
      <c r="H1129" s="66"/>
    </row>
    <row r="1130" spans="1:8" x14ac:dyDescent="0.25">
      <c r="A1130" s="300"/>
      <c r="B1130" s="297"/>
      <c r="C1130" s="5" t="s">
        <v>6</v>
      </c>
      <c r="D1130" s="254"/>
      <c r="E1130" s="96" t="s">
        <v>250</v>
      </c>
      <c r="F1130" s="5">
        <v>1</v>
      </c>
      <c r="G1130" s="5">
        <v>117</v>
      </c>
      <c r="H1130" s="66"/>
    </row>
    <row r="1131" spans="1:8" x14ac:dyDescent="0.25">
      <c r="A1131" s="300"/>
      <c r="B1131" s="297"/>
      <c r="C1131" s="5" t="s">
        <v>6</v>
      </c>
      <c r="D1131" s="254">
        <v>2</v>
      </c>
      <c r="E1131" s="96" t="s">
        <v>251</v>
      </c>
      <c r="F1131" s="5">
        <v>1</v>
      </c>
      <c r="G1131" s="5">
        <v>101</v>
      </c>
      <c r="H1131" s="66" t="s">
        <v>253</v>
      </c>
    </row>
    <row r="1132" spans="1:8" x14ac:dyDescent="0.25">
      <c r="A1132" s="300"/>
      <c r="B1132" s="297"/>
      <c r="C1132" s="5" t="s">
        <v>6</v>
      </c>
      <c r="D1132" s="254"/>
      <c r="E1132" s="96" t="s">
        <v>252</v>
      </c>
      <c r="F1132" s="5">
        <v>1</v>
      </c>
      <c r="G1132" s="5">
        <v>101</v>
      </c>
      <c r="H1132" s="66"/>
    </row>
    <row r="1133" spans="1:8" x14ac:dyDescent="0.25">
      <c r="A1133" s="300"/>
      <c r="B1133" s="297"/>
      <c r="C1133" s="5" t="s">
        <v>6</v>
      </c>
      <c r="D1133" s="254">
        <v>6</v>
      </c>
      <c r="E1133" s="96" t="s">
        <v>256</v>
      </c>
      <c r="F1133" s="5"/>
      <c r="G1133" s="5"/>
      <c r="H1133" s="66"/>
    </row>
    <row r="1134" spans="1:8" x14ac:dyDescent="0.25">
      <c r="A1134" s="300"/>
      <c r="B1134" s="297"/>
      <c r="C1134" s="5" t="s">
        <v>6</v>
      </c>
      <c r="D1134" s="254">
        <v>6</v>
      </c>
      <c r="E1134" s="96" t="s">
        <v>217</v>
      </c>
      <c r="F1134" s="5">
        <v>60</v>
      </c>
      <c r="G1134" s="5">
        <v>107</v>
      </c>
      <c r="H1134" s="66"/>
    </row>
    <row r="1135" spans="1:8" x14ac:dyDescent="0.25">
      <c r="A1135" s="300"/>
      <c r="B1135" s="297"/>
      <c r="C1135" s="5" t="s">
        <v>6</v>
      </c>
      <c r="D1135" s="254"/>
      <c r="E1135" s="96" t="s">
        <v>216</v>
      </c>
      <c r="F1135" s="5">
        <v>10</v>
      </c>
      <c r="G1135" s="5">
        <v>107</v>
      </c>
      <c r="H1135" s="66" t="s">
        <v>125</v>
      </c>
    </row>
    <row r="1136" spans="1:8" x14ac:dyDescent="0.25">
      <c r="A1136" s="300"/>
      <c r="B1136" s="297"/>
      <c r="C1136" s="5" t="s">
        <v>6</v>
      </c>
      <c r="D1136" s="254"/>
      <c r="E1136" s="96" t="s">
        <v>94</v>
      </c>
      <c r="F1136" s="5">
        <v>10</v>
      </c>
      <c r="G1136" s="5">
        <v>107</v>
      </c>
      <c r="H1136" s="66"/>
    </row>
    <row r="1137" spans="1:8" x14ac:dyDescent="0.25">
      <c r="A1137" s="300"/>
      <c r="B1137" s="297"/>
      <c r="C1137" s="5" t="s">
        <v>6</v>
      </c>
      <c r="D1137" s="254">
        <v>8</v>
      </c>
      <c r="E1137" s="96" t="s">
        <v>217</v>
      </c>
      <c r="F1137" s="5">
        <v>122</v>
      </c>
      <c r="G1137" s="5">
        <v>108</v>
      </c>
      <c r="H1137" s="66"/>
    </row>
    <row r="1138" spans="1:8" x14ac:dyDescent="0.25">
      <c r="A1138" s="300"/>
      <c r="B1138" s="297"/>
      <c r="C1138" s="5" t="s">
        <v>6</v>
      </c>
      <c r="D1138" s="254"/>
      <c r="E1138" s="96" t="s">
        <v>216</v>
      </c>
      <c r="F1138" s="5">
        <v>10</v>
      </c>
      <c r="G1138" s="5">
        <v>108</v>
      </c>
      <c r="H1138" s="66"/>
    </row>
    <row r="1139" spans="1:8" x14ac:dyDescent="0.25">
      <c r="A1139" s="300"/>
      <c r="B1139" s="297"/>
      <c r="C1139" s="5" t="s">
        <v>6</v>
      </c>
      <c r="D1139" s="254"/>
      <c r="E1139" s="96" t="s">
        <v>94</v>
      </c>
      <c r="F1139" s="5">
        <v>10</v>
      </c>
      <c r="G1139" s="5">
        <v>108</v>
      </c>
      <c r="H1139" s="66"/>
    </row>
    <row r="1140" spans="1:8" x14ac:dyDescent="0.25">
      <c r="A1140" s="300"/>
      <c r="B1140" s="297"/>
      <c r="C1140" s="5" t="s">
        <v>6</v>
      </c>
      <c r="D1140" s="254">
        <v>4</v>
      </c>
      <c r="E1140" s="96" t="s">
        <v>212</v>
      </c>
      <c r="F1140" s="5">
        <v>10</v>
      </c>
      <c r="G1140" s="5">
        <v>116</v>
      </c>
      <c r="H1140" s="66" t="s">
        <v>125</v>
      </c>
    </row>
    <row r="1141" spans="1:8" x14ac:dyDescent="0.25">
      <c r="A1141" s="300"/>
      <c r="B1141" s="297"/>
      <c r="C1141" s="5" t="s">
        <v>6</v>
      </c>
      <c r="D1141" s="254"/>
      <c r="E1141" s="96" t="s">
        <v>93</v>
      </c>
      <c r="F1141" s="5">
        <v>3</v>
      </c>
      <c r="G1141" s="5">
        <v>116</v>
      </c>
      <c r="H1141" s="66"/>
    </row>
    <row r="1142" spans="1:8" x14ac:dyDescent="0.25">
      <c r="A1142" s="300"/>
      <c r="B1142" s="297"/>
      <c r="C1142" s="5" t="s">
        <v>6</v>
      </c>
      <c r="D1142" s="254"/>
      <c r="E1142" s="96" t="s">
        <v>213</v>
      </c>
      <c r="F1142" s="5">
        <v>10</v>
      </c>
      <c r="G1142" s="5">
        <v>116</v>
      </c>
      <c r="H1142" s="66"/>
    </row>
    <row r="1143" spans="1:8" x14ac:dyDescent="0.25">
      <c r="A1143" s="300"/>
      <c r="B1143" s="297"/>
      <c r="C1143" s="5" t="s">
        <v>6</v>
      </c>
      <c r="D1143" s="254"/>
      <c r="E1143" s="96" t="s">
        <v>94</v>
      </c>
      <c r="F1143" s="5">
        <v>3</v>
      </c>
      <c r="G1143" s="5">
        <v>116</v>
      </c>
      <c r="H1143" s="66"/>
    </row>
    <row r="1144" spans="1:8" x14ac:dyDescent="0.25">
      <c r="A1144" s="300"/>
      <c r="B1144" s="297"/>
      <c r="C1144" s="5" t="s">
        <v>13</v>
      </c>
      <c r="D1144" s="254">
        <v>4</v>
      </c>
      <c r="E1144" s="96" t="s">
        <v>199</v>
      </c>
      <c r="F1144" s="5">
        <v>7.5</v>
      </c>
      <c r="G1144" s="5">
        <v>108</v>
      </c>
      <c r="H1144" s="66" t="s">
        <v>125</v>
      </c>
    </row>
    <row r="1145" spans="1:8" x14ac:dyDescent="0.25">
      <c r="A1145" s="300"/>
      <c r="B1145" s="297"/>
      <c r="C1145" s="62" t="s">
        <v>13</v>
      </c>
      <c r="D1145" s="250">
        <v>2</v>
      </c>
      <c r="E1145" s="163" t="s">
        <v>218</v>
      </c>
      <c r="F1145" s="62"/>
      <c r="G1145" s="67"/>
      <c r="H1145" s="68"/>
    </row>
    <row r="1146" spans="1:8" x14ac:dyDescent="0.25">
      <c r="A1146" s="293">
        <v>46152</v>
      </c>
      <c r="B1146" s="294" t="s">
        <v>36</v>
      </c>
      <c r="C1146" s="5" t="s">
        <v>13</v>
      </c>
      <c r="D1146" s="254">
        <v>5</v>
      </c>
      <c r="E1146" s="98" t="s">
        <v>287</v>
      </c>
      <c r="F1146" s="5"/>
      <c r="G1146" s="5" t="s">
        <v>165</v>
      </c>
      <c r="H1146" s="5" t="s">
        <v>125</v>
      </c>
    </row>
    <row r="1147" spans="1:8" x14ac:dyDescent="0.25">
      <c r="A1147" s="293"/>
      <c r="B1147" s="294"/>
      <c r="C1147" s="5" t="s">
        <v>13</v>
      </c>
      <c r="D1147" s="292">
        <v>10</v>
      </c>
      <c r="E1147" s="96" t="s">
        <v>241</v>
      </c>
      <c r="F1147" s="5">
        <v>8</v>
      </c>
      <c r="G1147" s="5">
        <v>103</v>
      </c>
      <c r="H1147" s="5" t="s">
        <v>240</v>
      </c>
    </row>
    <row r="1148" spans="1:8" x14ac:dyDescent="0.25">
      <c r="A1148" s="293"/>
      <c r="B1148" s="294"/>
      <c r="C1148" s="5" t="s">
        <v>13</v>
      </c>
      <c r="D1148" s="292"/>
      <c r="E1148" s="96" t="s">
        <v>242</v>
      </c>
      <c r="F1148" s="5">
        <v>6</v>
      </c>
      <c r="G1148" s="5">
        <v>103</v>
      </c>
      <c r="H1148" s="5" t="s">
        <v>240</v>
      </c>
    </row>
    <row r="1149" spans="1:8" x14ac:dyDescent="0.25">
      <c r="A1149" s="293"/>
      <c r="B1149" s="294"/>
      <c r="C1149" s="5" t="s">
        <v>13</v>
      </c>
      <c r="D1149" s="292"/>
      <c r="E1149" s="96" t="s">
        <v>96</v>
      </c>
      <c r="F1149" s="5">
        <v>6</v>
      </c>
      <c r="G1149" s="5">
        <v>103</v>
      </c>
      <c r="H1149" s="5" t="s">
        <v>240</v>
      </c>
    </row>
    <row r="1150" spans="1:8" x14ac:dyDescent="0.25">
      <c r="A1150" s="293"/>
      <c r="B1150" s="294"/>
      <c r="C1150" s="5" t="s">
        <v>13</v>
      </c>
      <c r="D1150" s="292"/>
      <c r="E1150" s="96" t="s">
        <v>147</v>
      </c>
      <c r="F1150" s="5">
        <v>20</v>
      </c>
      <c r="G1150" s="5">
        <v>103</v>
      </c>
      <c r="H1150" s="5" t="s">
        <v>240</v>
      </c>
    </row>
    <row r="1151" spans="1:8" x14ac:dyDescent="0.25">
      <c r="A1151" s="293"/>
      <c r="B1151" s="294"/>
      <c r="C1151" s="5" t="s">
        <v>13</v>
      </c>
      <c r="D1151" s="292"/>
      <c r="E1151" s="96" t="s">
        <v>85</v>
      </c>
      <c r="F1151" s="5">
        <v>6</v>
      </c>
      <c r="G1151" s="5" t="s">
        <v>165</v>
      </c>
      <c r="H1151" s="5" t="s">
        <v>125</v>
      </c>
    </row>
    <row r="1152" spans="1:8" x14ac:dyDescent="0.25">
      <c r="A1152" s="293"/>
      <c r="B1152" s="294"/>
      <c r="C1152" s="5" t="s">
        <v>13</v>
      </c>
      <c r="D1152" s="292"/>
      <c r="E1152" s="96" t="s">
        <v>78</v>
      </c>
      <c r="F1152" s="5">
        <v>3</v>
      </c>
      <c r="G1152" s="5" t="s">
        <v>165</v>
      </c>
      <c r="H1152" s="5"/>
    </row>
    <row r="1153" spans="1:8" x14ac:dyDescent="0.25">
      <c r="A1153" s="293"/>
      <c r="B1153" s="294"/>
      <c r="C1153" s="5" t="s">
        <v>13</v>
      </c>
      <c r="D1153" s="292">
        <v>9</v>
      </c>
      <c r="E1153" s="98" t="s">
        <v>199</v>
      </c>
      <c r="F1153" s="15">
        <v>4.2</v>
      </c>
      <c r="G1153" s="5">
        <v>105</v>
      </c>
      <c r="H1153" s="5" t="s">
        <v>125</v>
      </c>
    </row>
    <row r="1154" spans="1:8" x14ac:dyDescent="0.25">
      <c r="A1154" s="293"/>
      <c r="B1154" s="294"/>
      <c r="C1154" s="5" t="s">
        <v>13</v>
      </c>
      <c r="D1154" s="292"/>
      <c r="E1154" s="98" t="s">
        <v>147</v>
      </c>
      <c r="F1154" s="5">
        <v>15</v>
      </c>
      <c r="G1154" s="5">
        <v>105</v>
      </c>
      <c r="H1154" s="5" t="s">
        <v>240</v>
      </c>
    </row>
    <row r="1155" spans="1:8" x14ac:dyDescent="0.25">
      <c r="A1155" s="293"/>
      <c r="B1155" s="294"/>
      <c r="C1155" s="5" t="s">
        <v>13</v>
      </c>
      <c r="D1155" s="292"/>
      <c r="E1155" s="96" t="s">
        <v>96</v>
      </c>
      <c r="F1155" s="5">
        <v>2</v>
      </c>
      <c r="G1155" s="5">
        <v>105</v>
      </c>
      <c r="H1155" s="5" t="s">
        <v>240</v>
      </c>
    </row>
    <row r="1156" spans="1:8" x14ac:dyDescent="0.25">
      <c r="A1156" s="293"/>
      <c r="B1156" s="294"/>
      <c r="C1156" s="5" t="s">
        <v>13</v>
      </c>
      <c r="D1156" s="292"/>
      <c r="E1156" s="96" t="s">
        <v>241</v>
      </c>
      <c r="F1156" s="15">
        <v>2</v>
      </c>
      <c r="G1156" s="5">
        <v>105</v>
      </c>
      <c r="H1156" s="5" t="s">
        <v>240</v>
      </c>
    </row>
    <row r="1157" spans="1:8" x14ac:dyDescent="0.25">
      <c r="A1157" s="293"/>
      <c r="B1157" s="294"/>
      <c r="C1157" s="5" t="s">
        <v>13</v>
      </c>
      <c r="D1157" s="292"/>
      <c r="E1157" s="96" t="s">
        <v>242</v>
      </c>
      <c r="F1157" s="15">
        <v>2</v>
      </c>
      <c r="G1157" s="5">
        <v>105</v>
      </c>
      <c r="H1157" s="4"/>
    </row>
    <row r="1158" spans="1:8" x14ac:dyDescent="0.25">
      <c r="A1158" s="293"/>
      <c r="B1158" s="294"/>
      <c r="C1158" s="5" t="s">
        <v>13</v>
      </c>
      <c r="D1158" s="254">
        <v>1</v>
      </c>
      <c r="E1158" s="96" t="s">
        <v>218</v>
      </c>
      <c r="F1158" s="5"/>
      <c r="G1158" s="5">
        <v>105</v>
      </c>
      <c r="H1158" s="5"/>
    </row>
    <row r="1159" spans="1:8" x14ac:dyDescent="0.25">
      <c r="A1159" s="287">
        <v>46152</v>
      </c>
      <c r="B1159" s="261" t="s">
        <v>5</v>
      </c>
      <c r="C1159" s="23" t="s">
        <v>6</v>
      </c>
      <c r="D1159" s="265">
        <v>3</v>
      </c>
      <c r="E1159" s="164" t="s">
        <v>73</v>
      </c>
      <c r="F1159" s="12">
        <v>3</v>
      </c>
      <c r="G1159" s="70">
        <v>117</v>
      </c>
      <c r="H1159" s="69"/>
    </row>
    <row r="1160" spans="1:8" x14ac:dyDescent="0.25">
      <c r="A1160" s="288"/>
      <c r="B1160" s="268"/>
      <c r="C1160" s="23" t="s">
        <v>6</v>
      </c>
      <c r="D1160" s="263"/>
      <c r="E1160" s="98" t="s">
        <v>310</v>
      </c>
      <c r="F1160" s="15">
        <v>1</v>
      </c>
      <c r="G1160" s="70">
        <v>117</v>
      </c>
      <c r="H1160" s="4"/>
    </row>
    <row r="1161" spans="1:8" x14ac:dyDescent="0.25">
      <c r="A1161" s="288"/>
      <c r="B1161" s="268"/>
      <c r="C1161" s="23" t="s">
        <v>6</v>
      </c>
      <c r="D1161" s="263"/>
      <c r="E1161" s="98" t="s">
        <v>110</v>
      </c>
      <c r="F1161" s="15">
        <v>1</v>
      </c>
      <c r="G1161" s="70">
        <v>117</v>
      </c>
      <c r="H1161" s="4"/>
    </row>
    <row r="1162" spans="1:8" x14ac:dyDescent="0.25">
      <c r="A1162" s="288"/>
      <c r="B1162" s="268"/>
      <c r="C1162" s="23" t="s">
        <v>6</v>
      </c>
      <c r="D1162" s="263"/>
      <c r="E1162" s="98" t="s">
        <v>206</v>
      </c>
      <c r="F1162" s="15">
        <v>6</v>
      </c>
      <c r="G1162" s="70">
        <v>117</v>
      </c>
      <c r="H1162" s="4"/>
    </row>
    <row r="1163" spans="1:8" x14ac:dyDescent="0.25">
      <c r="A1163" s="288"/>
      <c r="B1163" s="268"/>
      <c r="C1163" s="23" t="s">
        <v>6</v>
      </c>
      <c r="D1163" s="264"/>
      <c r="E1163" s="98" t="s">
        <v>112</v>
      </c>
      <c r="F1163" s="15">
        <v>6</v>
      </c>
      <c r="G1163" s="70">
        <v>117</v>
      </c>
      <c r="H1163" s="4"/>
    </row>
    <row r="1164" spans="1:8" x14ac:dyDescent="0.25">
      <c r="A1164" s="288"/>
      <c r="B1164" s="268"/>
      <c r="C1164" s="5" t="s">
        <v>6</v>
      </c>
      <c r="D1164" s="342">
        <v>4</v>
      </c>
      <c r="E1164" s="96" t="s">
        <v>305</v>
      </c>
      <c r="F1164" s="5">
        <v>1</v>
      </c>
      <c r="G1164" s="5">
        <v>112</v>
      </c>
      <c r="H1164" s="4"/>
    </row>
    <row r="1165" spans="1:8" x14ac:dyDescent="0.25">
      <c r="A1165" s="288"/>
      <c r="B1165" s="268"/>
      <c r="C1165" s="5" t="s">
        <v>6</v>
      </c>
      <c r="D1165" s="343"/>
      <c r="E1165" s="96" t="s">
        <v>306</v>
      </c>
      <c r="F1165" s="5">
        <v>1</v>
      </c>
      <c r="G1165" s="5">
        <v>117</v>
      </c>
      <c r="H1165" s="4"/>
    </row>
    <row r="1166" spans="1:8" x14ac:dyDescent="0.25">
      <c r="A1166" s="288"/>
      <c r="B1166" s="268"/>
      <c r="C1166" s="25" t="s">
        <v>6</v>
      </c>
      <c r="D1166" s="265">
        <v>2</v>
      </c>
      <c r="E1166" s="98" t="s">
        <v>254</v>
      </c>
      <c r="F1166" s="15">
        <v>1</v>
      </c>
      <c r="G1166" s="35">
        <v>111</v>
      </c>
      <c r="H1166" s="4" t="s">
        <v>253</v>
      </c>
    </row>
    <row r="1167" spans="1:8" x14ac:dyDescent="0.25">
      <c r="A1167" s="288"/>
      <c r="B1167" s="268"/>
      <c r="C1167" s="25" t="s">
        <v>6</v>
      </c>
      <c r="D1167" s="264"/>
      <c r="E1167" s="98" t="s">
        <v>255</v>
      </c>
      <c r="F1167" s="15">
        <v>1</v>
      </c>
      <c r="G1167" s="35">
        <v>111</v>
      </c>
      <c r="H1167" s="4"/>
    </row>
    <row r="1168" spans="1:8" x14ac:dyDescent="0.25">
      <c r="A1168" s="288"/>
      <c r="B1168" s="268"/>
      <c r="C1168" s="25" t="s">
        <v>6</v>
      </c>
      <c r="D1168" s="248">
        <v>6</v>
      </c>
      <c r="E1168" s="98" t="s">
        <v>256</v>
      </c>
      <c r="F1168" s="15"/>
      <c r="G1168" s="35"/>
      <c r="H1168" s="4"/>
    </row>
    <row r="1169" spans="1:8" x14ac:dyDescent="0.25">
      <c r="A1169" s="288"/>
      <c r="B1169" s="268"/>
      <c r="C1169" s="25" t="s">
        <v>13</v>
      </c>
      <c r="D1169" s="248">
        <v>4</v>
      </c>
      <c r="E1169" s="98" t="s">
        <v>199</v>
      </c>
      <c r="F1169" s="15">
        <v>7.5</v>
      </c>
      <c r="G1169" s="35">
        <v>109</v>
      </c>
      <c r="H1169" s="5" t="s">
        <v>125</v>
      </c>
    </row>
    <row r="1170" spans="1:8" x14ac:dyDescent="0.25">
      <c r="A1170" s="288"/>
      <c r="B1170" s="268"/>
      <c r="C1170" s="25" t="s">
        <v>6</v>
      </c>
      <c r="D1170" s="265">
        <v>6</v>
      </c>
      <c r="E1170" s="98" t="s">
        <v>205</v>
      </c>
      <c r="F1170" s="15">
        <v>6</v>
      </c>
      <c r="G1170" s="35">
        <v>109</v>
      </c>
      <c r="H1170" s="4"/>
    </row>
    <row r="1171" spans="1:8" x14ac:dyDescent="0.25">
      <c r="A1171" s="288"/>
      <c r="B1171" s="268"/>
      <c r="C1171" s="25" t="s">
        <v>6</v>
      </c>
      <c r="D1171" s="263"/>
      <c r="E1171" s="98" t="s">
        <v>96</v>
      </c>
      <c r="F1171" s="15">
        <v>1</v>
      </c>
      <c r="G1171" s="35">
        <v>109</v>
      </c>
      <c r="H1171" s="4"/>
    </row>
    <row r="1172" spans="1:8" x14ac:dyDescent="0.25">
      <c r="A1172" s="288"/>
      <c r="B1172" s="268"/>
      <c r="C1172" s="25" t="s">
        <v>6</v>
      </c>
      <c r="D1172" s="263"/>
      <c r="E1172" s="98" t="s">
        <v>199</v>
      </c>
      <c r="F1172" s="15">
        <v>7.5</v>
      </c>
      <c r="G1172" s="35">
        <v>109</v>
      </c>
      <c r="H1172" s="4"/>
    </row>
    <row r="1173" spans="1:8" x14ac:dyDescent="0.25">
      <c r="A1173" s="288"/>
      <c r="B1173" s="268"/>
      <c r="C1173" s="25" t="s">
        <v>6</v>
      </c>
      <c r="D1173" s="263"/>
      <c r="E1173" s="98" t="s">
        <v>216</v>
      </c>
      <c r="F1173" s="15">
        <v>6</v>
      </c>
      <c r="G1173" s="35">
        <v>109</v>
      </c>
      <c r="H1173" s="4"/>
    </row>
    <row r="1174" spans="1:8" x14ac:dyDescent="0.25">
      <c r="A1174" s="288"/>
      <c r="B1174" s="268"/>
      <c r="C1174" s="25" t="s">
        <v>6</v>
      </c>
      <c r="D1174" s="264"/>
      <c r="E1174" s="98" t="s">
        <v>94</v>
      </c>
      <c r="F1174" s="15">
        <v>6</v>
      </c>
      <c r="G1174" s="35">
        <v>109</v>
      </c>
      <c r="H1174" s="4"/>
    </row>
    <row r="1175" spans="1:8" x14ac:dyDescent="0.25">
      <c r="A1175" s="288"/>
      <c r="B1175" s="268"/>
      <c r="C1175" s="25" t="s">
        <v>6</v>
      </c>
      <c r="D1175" s="265">
        <v>5</v>
      </c>
      <c r="E1175" s="98" t="s">
        <v>71</v>
      </c>
      <c r="F1175" s="15">
        <v>3</v>
      </c>
      <c r="G1175" s="35">
        <v>116</v>
      </c>
      <c r="H1175" s="5" t="s">
        <v>125</v>
      </c>
    </row>
    <row r="1176" spans="1:8" x14ac:dyDescent="0.25">
      <c r="A1176" s="288"/>
      <c r="B1176" s="268"/>
      <c r="C1176" s="25" t="s">
        <v>6</v>
      </c>
      <c r="D1176" s="263"/>
      <c r="E1176" s="98" t="s">
        <v>82</v>
      </c>
      <c r="F1176" s="15">
        <v>4</v>
      </c>
      <c r="G1176" s="35">
        <v>116</v>
      </c>
      <c r="H1176" s="4"/>
    </row>
    <row r="1177" spans="1:8" x14ac:dyDescent="0.25">
      <c r="A1177" s="288"/>
      <c r="B1177" s="268"/>
      <c r="C1177" s="25" t="s">
        <v>6</v>
      </c>
      <c r="D1177" s="263"/>
      <c r="E1177" s="98" t="s">
        <v>212</v>
      </c>
      <c r="F1177" s="15">
        <v>10</v>
      </c>
      <c r="G1177" s="35">
        <v>116</v>
      </c>
      <c r="H1177" s="4"/>
    </row>
    <row r="1178" spans="1:8" x14ac:dyDescent="0.25">
      <c r="A1178" s="288"/>
      <c r="B1178" s="268"/>
      <c r="C1178" s="25" t="s">
        <v>6</v>
      </c>
      <c r="D1178" s="263"/>
      <c r="E1178" s="98" t="s">
        <v>93</v>
      </c>
      <c r="F1178" s="15">
        <v>3</v>
      </c>
      <c r="G1178" s="35">
        <v>116</v>
      </c>
      <c r="H1178" s="4"/>
    </row>
    <row r="1179" spans="1:8" x14ac:dyDescent="0.25">
      <c r="A1179" s="288"/>
      <c r="B1179" s="268"/>
      <c r="C1179" s="25" t="s">
        <v>6</v>
      </c>
      <c r="D1179" s="263"/>
      <c r="E1179" s="98" t="s">
        <v>213</v>
      </c>
      <c r="F1179" s="15">
        <v>10</v>
      </c>
      <c r="G1179" s="35">
        <v>116</v>
      </c>
      <c r="H1179" s="4"/>
    </row>
    <row r="1180" spans="1:8" x14ac:dyDescent="0.25">
      <c r="A1180" s="288"/>
      <c r="B1180" s="268"/>
      <c r="C1180" s="25" t="s">
        <v>6</v>
      </c>
      <c r="D1180" s="264"/>
      <c r="E1180" s="98" t="s">
        <v>94</v>
      </c>
      <c r="F1180" s="15">
        <v>3</v>
      </c>
      <c r="G1180" s="35">
        <v>116</v>
      </c>
      <c r="H1180" s="4"/>
    </row>
    <row r="1181" spans="1:8" x14ac:dyDescent="0.25">
      <c r="A1181" s="289"/>
      <c r="B1181" s="269"/>
      <c r="C1181" s="25" t="s">
        <v>6</v>
      </c>
      <c r="D1181" s="248">
        <v>2</v>
      </c>
      <c r="E1181" s="98" t="s">
        <v>229</v>
      </c>
      <c r="F1181" s="15"/>
      <c r="G1181" s="35">
        <v>116</v>
      </c>
      <c r="H1181" s="4"/>
    </row>
    <row r="1182" spans="1:8" x14ac:dyDescent="0.25">
      <c r="A1182" s="287">
        <v>46153</v>
      </c>
      <c r="B1182" s="261" t="s">
        <v>36</v>
      </c>
      <c r="C1182" s="25" t="s">
        <v>13</v>
      </c>
      <c r="D1182" s="248">
        <v>5</v>
      </c>
      <c r="E1182" s="98" t="s">
        <v>308</v>
      </c>
      <c r="F1182" s="15">
        <v>30</v>
      </c>
      <c r="G1182" s="35" t="s">
        <v>165</v>
      </c>
      <c r="H1182" s="4"/>
    </row>
    <row r="1183" spans="1:8" x14ac:dyDescent="0.25">
      <c r="A1183" s="288"/>
      <c r="B1183" s="268"/>
      <c r="C1183" s="24" t="s">
        <v>13</v>
      </c>
      <c r="D1183" s="265">
        <v>10</v>
      </c>
      <c r="E1183" s="98" t="s">
        <v>242</v>
      </c>
      <c r="F1183" s="15">
        <v>21</v>
      </c>
      <c r="G1183" s="35">
        <v>104</v>
      </c>
      <c r="H1183" s="5" t="s">
        <v>125</v>
      </c>
    </row>
    <row r="1184" spans="1:8" x14ac:dyDescent="0.25">
      <c r="A1184" s="288"/>
      <c r="B1184" s="268"/>
      <c r="C1184" s="24" t="s">
        <v>13</v>
      </c>
      <c r="D1184" s="263"/>
      <c r="E1184" s="98" t="s">
        <v>241</v>
      </c>
      <c r="F1184" s="15">
        <v>12</v>
      </c>
      <c r="G1184" s="35">
        <v>104</v>
      </c>
      <c r="H1184" s="5" t="s">
        <v>240</v>
      </c>
    </row>
    <row r="1185" spans="1:8" x14ac:dyDescent="0.25">
      <c r="A1185" s="288"/>
      <c r="B1185" s="268"/>
      <c r="C1185" s="24" t="s">
        <v>13</v>
      </c>
      <c r="D1185" s="263"/>
      <c r="E1185" s="98" t="s">
        <v>96</v>
      </c>
      <c r="F1185" s="15">
        <v>7</v>
      </c>
      <c r="G1185" s="35">
        <v>104</v>
      </c>
      <c r="H1185" s="5" t="s">
        <v>240</v>
      </c>
    </row>
    <row r="1186" spans="1:8" x14ac:dyDescent="0.25">
      <c r="A1186" s="288"/>
      <c r="B1186" s="268"/>
      <c r="C1186" s="24" t="s">
        <v>13</v>
      </c>
      <c r="D1186" s="263"/>
      <c r="E1186" s="98" t="s">
        <v>147</v>
      </c>
      <c r="F1186" s="15">
        <v>24.6</v>
      </c>
      <c r="G1186" s="35">
        <v>104</v>
      </c>
      <c r="H1186" s="5" t="s">
        <v>240</v>
      </c>
    </row>
    <row r="1187" spans="1:8" x14ac:dyDescent="0.25">
      <c r="A1187" s="288"/>
      <c r="B1187" s="268"/>
      <c r="C1187" s="24" t="s">
        <v>13</v>
      </c>
      <c r="D1187" s="264"/>
      <c r="E1187" s="98" t="s">
        <v>218</v>
      </c>
      <c r="F1187" s="15"/>
      <c r="G1187" s="35">
        <v>104</v>
      </c>
      <c r="H1187" s="5"/>
    </row>
    <row r="1188" spans="1:8" x14ac:dyDescent="0.25">
      <c r="A1188" s="288"/>
      <c r="B1188" s="268"/>
      <c r="C1188" s="24" t="s">
        <v>13</v>
      </c>
      <c r="D1188" s="265">
        <v>5</v>
      </c>
      <c r="E1188" s="98" t="s">
        <v>73</v>
      </c>
      <c r="F1188" s="15">
        <v>14</v>
      </c>
      <c r="G1188" s="35" t="s">
        <v>165</v>
      </c>
      <c r="H1188" s="5" t="s">
        <v>125</v>
      </c>
    </row>
    <row r="1189" spans="1:8" x14ac:dyDescent="0.25">
      <c r="A1189" s="288"/>
      <c r="B1189" s="268"/>
      <c r="C1189" s="24" t="s">
        <v>13</v>
      </c>
      <c r="D1189" s="264"/>
      <c r="E1189" s="98" t="s">
        <v>112</v>
      </c>
      <c r="F1189" s="15">
        <v>30</v>
      </c>
      <c r="G1189" s="35" t="s">
        <v>165</v>
      </c>
      <c r="H1189" s="4" t="s">
        <v>257</v>
      </c>
    </row>
    <row r="1190" spans="1:8" x14ac:dyDescent="0.25">
      <c r="A1190" s="288"/>
      <c r="B1190" s="268"/>
      <c r="C1190" s="24" t="s">
        <v>13</v>
      </c>
      <c r="D1190" s="265">
        <v>3</v>
      </c>
      <c r="E1190" s="98" t="s">
        <v>287</v>
      </c>
      <c r="F1190" s="15"/>
      <c r="G1190" s="35" t="s">
        <v>165</v>
      </c>
      <c r="H1190" s="5" t="s">
        <v>125</v>
      </c>
    </row>
    <row r="1191" spans="1:8" x14ac:dyDescent="0.25">
      <c r="A1191" s="288"/>
      <c r="B1191" s="268"/>
      <c r="C1191" s="24" t="s">
        <v>13</v>
      </c>
      <c r="D1191" s="263"/>
      <c r="E1191" s="98" t="s">
        <v>120</v>
      </c>
      <c r="F1191" s="15">
        <v>5</v>
      </c>
      <c r="G1191" s="35" t="s">
        <v>165</v>
      </c>
      <c r="H1191" s="4"/>
    </row>
    <row r="1192" spans="1:8" x14ac:dyDescent="0.25">
      <c r="A1192" s="289"/>
      <c r="B1192" s="269"/>
      <c r="C1192" s="24" t="s">
        <v>13</v>
      </c>
      <c r="D1192" s="264"/>
      <c r="E1192" s="98" t="s">
        <v>206</v>
      </c>
      <c r="F1192" s="15">
        <v>6</v>
      </c>
      <c r="G1192" s="35" t="s">
        <v>165</v>
      </c>
      <c r="H1192" s="4"/>
    </row>
    <row r="1193" spans="1:8" x14ac:dyDescent="0.25">
      <c r="A1193" s="287">
        <v>46153</v>
      </c>
      <c r="B1193" s="261" t="s">
        <v>5</v>
      </c>
      <c r="C1193" s="25" t="s">
        <v>6</v>
      </c>
      <c r="D1193" s="265">
        <v>3</v>
      </c>
      <c r="E1193" s="98" t="s">
        <v>73</v>
      </c>
      <c r="F1193" s="15">
        <v>3</v>
      </c>
      <c r="G1193" s="35">
        <v>112</v>
      </c>
      <c r="H1193" s="4"/>
    </row>
    <row r="1194" spans="1:8" x14ac:dyDescent="0.25">
      <c r="A1194" s="288"/>
      <c r="B1194" s="268"/>
      <c r="C1194" s="25" t="s">
        <v>6</v>
      </c>
      <c r="D1194" s="263"/>
      <c r="E1194" s="98" t="s">
        <v>310</v>
      </c>
      <c r="F1194" s="15">
        <v>1</v>
      </c>
      <c r="G1194" s="35">
        <v>112</v>
      </c>
      <c r="H1194" s="4"/>
    </row>
    <row r="1195" spans="1:8" x14ac:dyDescent="0.25">
      <c r="A1195" s="288"/>
      <c r="B1195" s="268"/>
      <c r="C1195" s="25" t="s">
        <v>6</v>
      </c>
      <c r="D1195" s="263"/>
      <c r="E1195" s="98" t="s">
        <v>110</v>
      </c>
      <c r="F1195" s="15">
        <v>1</v>
      </c>
      <c r="G1195" s="35">
        <v>112</v>
      </c>
      <c r="H1195" s="4"/>
    </row>
    <row r="1196" spans="1:8" x14ac:dyDescent="0.25">
      <c r="A1196" s="288"/>
      <c r="B1196" s="268"/>
      <c r="C1196" s="25" t="s">
        <v>6</v>
      </c>
      <c r="D1196" s="264"/>
      <c r="E1196" s="98" t="s">
        <v>112</v>
      </c>
      <c r="F1196" s="15">
        <v>4</v>
      </c>
      <c r="G1196" s="35">
        <v>112</v>
      </c>
      <c r="H1196" s="4"/>
    </row>
    <row r="1197" spans="1:8" x14ac:dyDescent="0.25">
      <c r="A1197" s="288"/>
      <c r="B1197" s="268"/>
      <c r="C1197" s="25" t="s">
        <v>6</v>
      </c>
      <c r="D1197" s="248">
        <v>6</v>
      </c>
      <c r="E1197" s="98" t="s">
        <v>256</v>
      </c>
      <c r="F1197" s="15"/>
      <c r="G1197" s="35"/>
      <c r="H1197" s="4"/>
    </row>
    <row r="1198" spans="1:8" x14ac:dyDescent="0.25">
      <c r="A1198" s="288"/>
      <c r="B1198" s="268"/>
      <c r="C1198" s="25" t="s">
        <v>6</v>
      </c>
      <c r="D1198" s="265">
        <v>8</v>
      </c>
      <c r="E1198" s="98" t="s">
        <v>217</v>
      </c>
      <c r="F1198" s="15">
        <v>30</v>
      </c>
      <c r="G1198" s="35">
        <v>103</v>
      </c>
      <c r="H1198" s="4"/>
    </row>
    <row r="1199" spans="1:8" x14ac:dyDescent="0.25">
      <c r="A1199" s="288"/>
      <c r="B1199" s="268"/>
      <c r="C1199" s="25" t="s">
        <v>6</v>
      </c>
      <c r="D1199" s="263"/>
      <c r="E1199" s="98" t="s">
        <v>217</v>
      </c>
      <c r="F1199" s="15">
        <v>30</v>
      </c>
      <c r="G1199" s="35">
        <v>104</v>
      </c>
      <c r="H1199" s="4"/>
    </row>
    <row r="1200" spans="1:8" x14ac:dyDescent="0.25">
      <c r="A1200" s="288"/>
      <c r="B1200" s="268"/>
      <c r="C1200" s="25" t="s">
        <v>6</v>
      </c>
      <c r="D1200" s="263"/>
      <c r="E1200" s="98" t="s">
        <v>217</v>
      </c>
      <c r="F1200" s="15">
        <v>30</v>
      </c>
      <c r="G1200" s="35">
        <v>105</v>
      </c>
      <c r="H1200" s="4"/>
    </row>
    <row r="1201" spans="1:8" x14ac:dyDescent="0.25">
      <c r="A1201" s="288"/>
      <c r="B1201" s="268"/>
      <c r="C1201" s="25" t="s">
        <v>6</v>
      </c>
      <c r="D1201" s="264"/>
      <c r="E1201" s="98" t="s">
        <v>217</v>
      </c>
      <c r="F1201" s="15">
        <v>30</v>
      </c>
      <c r="G1201" s="35">
        <v>107</v>
      </c>
      <c r="H1201" s="4"/>
    </row>
    <row r="1202" spans="1:8" x14ac:dyDescent="0.25">
      <c r="A1202" s="288"/>
      <c r="B1202" s="268"/>
      <c r="C1202" s="25" t="s">
        <v>6</v>
      </c>
      <c r="D1202" s="265">
        <v>6</v>
      </c>
      <c r="E1202" s="98" t="s">
        <v>147</v>
      </c>
      <c r="F1202" s="15">
        <v>35</v>
      </c>
      <c r="G1202" s="35">
        <v>102</v>
      </c>
      <c r="H1202" s="5" t="s">
        <v>125</v>
      </c>
    </row>
    <row r="1203" spans="1:8" x14ac:dyDescent="0.25">
      <c r="A1203" s="288"/>
      <c r="B1203" s="268"/>
      <c r="C1203" s="25" t="s">
        <v>6</v>
      </c>
      <c r="D1203" s="263"/>
      <c r="E1203" s="98" t="s">
        <v>96</v>
      </c>
      <c r="F1203" s="15">
        <v>6</v>
      </c>
      <c r="G1203" s="35">
        <v>102</v>
      </c>
      <c r="H1203" s="4"/>
    </row>
    <row r="1204" spans="1:8" x14ac:dyDescent="0.25">
      <c r="A1204" s="288"/>
      <c r="B1204" s="268"/>
      <c r="C1204" s="25" t="s">
        <v>6</v>
      </c>
      <c r="D1204" s="264"/>
      <c r="E1204" s="98" t="s">
        <v>205</v>
      </c>
      <c r="F1204" s="15">
        <v>6</v>
      </c>
      <c r="G1204" s="35">
        <v>102</v>
      </c>
      <c r="H1204" s="4"/>
    </row>
    <row r="1205" spans="1:8" x14ac:dyDescent="0.25">
      <c r="A1205" s="288"/>
      <c r="B1205" s="268"/>
      <c r="C1205" s="25" t="s">
        <v>6</v>
      </c>
      <c r="D1205" s="248">
        <v>3</v>
      </c>
      <c r="E1205" s="98" t="s">
        <v>212</v>
      </c>
      <c r="F1205" s="15">
        <v>8</v>
      </c>
      <c r="G1205" s="35">
        <v>116</v>
      </c>
      <c r="H1205" s="4" t="s">
        <v>258</v>
      </c>
    </row>
    <row r="1206" spans="1:8" x14ac:dyDescent="0.25">
      <c r="A1206" s="288"/>
      <c r="B1206" s="268"/>
      <c r="C1206" s="25" t="s">
        <v>6</v>
      </c>
      <c r="D1206" s="265">
        <v>6</v>
      </c>
      <c r="E1206" s="98" t="s">
        <v>212</v>
      </c>
      <c r="F1206" s="15">
        <v>10</v>
      </c>
      <c r="G1206" s="35">
        <v>116</v>
      </c>
      <c r="H1206" s="4"/>
    </row>
    <row r="1207" spans="1:8" x14ac:dyDescent="0.25">
      <c r="A1207" s="288"/>
      <c r="B1207" s="268"/>
      <c r="C1207" s="25" t="s">
        <v>6</v>
      </c>
      <c r="D1207" s="263"/>
      <c r="E1207" s="98" t="s">
        <v>93</v>
      </c>
      <c r="F1207" s="15">
        <v>3</v>
      </c>
      <c r="G1207" s="35">
        <v>116</v>
      </c>
      <c r="H1207" s="4"/>
    </row>
    <row r="1208" spans="1:8" x14ac:dyDescent="0.25">
      <c r="A1208" s="288"/>
      <c r="B1208" s="268"/>
      <c r="C1208" s="25" t="s">
        <v>6</v>
      </c>
      <c r="D1208" s="263"/>
      <c r="E1208" s="98" t="s">
        <v>71</v>
      </c>
      <c r="F1208" s="15">
        <v>3</v>
      </c>
      <c r="G1208" s="35">
        <v>116</v>
      </c>
      <c r="H1208" s="4"/>
    </row>
    <row r="1209" spans="1:8" x14ac:dyDescent="0.25">
      <c r="A1209" s="288"/>
      <c r="B1209" s="268"/>
      <c r="C1209" s="25" t="s">
        <v>6</v>
      </c>
      <c r="D1209" s="264"/>
      <c r="E1209" s="98" t="s">
        <v>108</v>
      </c>
      <c r="F1209" s="15">
        <v>4</v>
      </c>
      <c r="G1209" s="35">
        <v>116</v>
      </c>
      <c r="H1209" s="4"/>
    </row>
    <row r="1210" spans="1:8" x14ac:dyDescent="0.25">
      <c r="A1210" s="288"/>
      <c r="B1210" s="268"/>
      <c r="C1210" s="25" t="s">
        <v>13</v>
      </c>
      <c r="D1210" s="248">
        <v>4</v>
      </c>
      <c r="E1210" s="98" t="s">
        <v>199</v>
      </c>
      <c r="F1210" s="15">
        <v>7.5</v>
      </c>
      <c r="G1210" s="35">
        <v>104</v>
      </c>
      <c r="H1210" s="5" t="s">
        <v>125</v>
      </c>
    </row>
    <row r="1211" spans="1:8" ht="16.5" thickBot="1" x14ac:dyDescent="0.3">
      <c r="A1211" s="295"/>
      <c r="B1211" s="273"/>
      <c r="C1211" s="51" t="s">
        <v>6</v>
      </c>
      <c r="D1211" s="91">
        <v>2</v>
      </c>
      <c r="E1211" s="159" t="s">
        <v>218</v>
      </c>
      <c r="F1211" s="50"/>
      <c r="G1211" s="71">
        <v>102</v>
      </c>
      <c r="H1211" s="49"/>
    </row>
    <row r="1212" spans="1:8" x14ac:dyDescent="0.25">
      <c r="A1212" s="288">
        <v>46154</v>
      </c>
      <c r="B1212" s="268" t="s">
        <v>36</v>
      </c>
      <c r="C1212" s="23" t="s">
        <v>13</v>
      </c>
      <c r="D1212" s="262">
        <v>3</v>
      </c>
      <c r="E1212" s="164" t="s">
        <v>93</v>
      </c>
      <c r="F1212" s="12">
        <v>15</v>
      </c>
      <c r="G1212" s="70" t="s">
        <v>165</v>
      </c>
      <c r="H1212" s="69"/>
    </row>
    <row r="1213" spans="1:8" x14ac:dyDescent="0.25">
      <c r="A1213" s="288"/>
      <c r="B1213" s="268"/>
      <c r="C1213" s="25" t="s">
        <v>13</v>
      </c>
      <c r="D1213" s="263"/>
      <c r="E1213" s="98" t="s">
        <v>93</v>
      </c>
      <c r="F1213" s="15">
        <v>1</v>
      </c>
      <c r="G1213" s="70" t="s">
        <v>165</v>
      </c>
      <c r="H1213" s="4"/>
    </row>
    <row r="1214" spans="1:8" x14ac:dyDescent="0.25">
      <c r="A1214" s="288"/>
      <c r="B1214" s="268"/>
      <c r="C1214" s="25" t="s">
        <v>13</v>
      </c>
      <c r="D1214" s="264"/>
      <c r="E1214" s="98" t="s">
        <v>206</v>
      </c>
      <c r="F1214" s="15">
        <v>6</v>
      </c>
      <c r="G1214" s="35" t="s">
        <v>165</v>
      </c>
      <c r="H1214" s="4"/>
    </row>
    <row r="1215" spans="1:8" x14ac:dyDescent="0.25">
      <c r="A1215" s="288"/>
      <c r="B1215" s="268"/>
      <c r="C1215" s="25" t="s">
        <v>13</v>
      </c>
      <c r="D1215" s="248">
        <v>2</v>
      </c>
      <c r="E1215" s="143" t="s">
        <v>283</v>
      </c>
      <c r="F1215" s="15">
        <v>32</v>
      </c>
      <c r="G1215" s="35">
        <v>104</v>
      </c>
      <c r="H1215" s="4" t="s">
        <v>259</v>
      </c>
    </row>
    <row r="1216" spans="1:8" x14ac:dyDescent="0.25">
      <c r="A1216" s="288"/>
      <c r="B1216" s="268"/>
      <c r="C1216" s="25" t="s">
        <v>13</v>
      </c>
      <c r="D1216" s="248">
        <v>3</v>
      </c>
      <c r="E1216" s="98" t="s">
        <v>308</v>
      </c>
      <c r="F1216" s="15">
        <v>30</v>
      </c>
      <c r="G1216" s="35" t="s">
        <v>165</v>
      </c>
      <c r="H1216" s="4"/>
    </row>
    <row r="1217" spans="1:8" x14ac:dyDescent="0.25">
      <c r="A1217" s="288"/>
      <c r="B1217" s="268"/>
      <c r="C1217" s="25" t="s">
        <v>13</v>
      </c>
      <c r="D1217" s="265">
        <v>6</v>
      </c>
      <c r="E1217" s="98" t="s">
        <v>147</v>
      </c>
      <c r="F1217" s="15">
        <v>20</v>
      </c>
      <c r="G1217" s="35">
        <v>104</v>
      </c>
      <c r="H1217" s="5" t="s">
        <v>125</v>
      </c>
    </row>
    <row r="1218" spans="1:8" x14ac:dyDescent="0.25">
      <c r="A1218" s="288"/>
      <c r="B1218" s="268"/>
      <c r="C1218" s="25" t="s">
        <v>13</v>
      </c>
      <c r="D1218" s="263"/>
      <c r="E1218" s="98" t="s">
        <v>96</v>
      </c>
      <c r="F1218" s="15">
        <v>6</v>
      </c>
      <c r="G1218" s="35">
        <v>104</v>
      </c>
      <c r="H1218" s="4"/>
    </row>
    <row r="1219" spans="1:8" x14ac:dyDescent="0.25">
      <c r="A1219" s="288"/>
      <c r="B1219" s="268"/>
      <c r="C1219" s="25" t="s">
        <v>13</v>
      </c>
      <c r="D1219" s="263"/>
      <c r="E1219" s="98" t="s">
        <v>241</v>
      </c>
      <c r="F1219" s="15">
        <v>10</v>
      </c>
      <c r="G1219" s="35">
        <v>104</v>
      </c>
      <c r="H1219" s="5" t="s">
        <v>240</v>
      </c>
    </row>
    <row r="1220" spans="1:8" x14ac:dyDescent="0.25">
      <c r="A1220" s="288"/>
      <c r="B1220" s="268"/>
      <c r="C1220" s="25" t="s">
        <v>13</v>
      </c>
      <c r="D1220" s="264"/>
      <c r="E1220" s="98" t="s">
        <v>242</v>
      </c>
      <c r="F1220" s="15">
        <v>6</v>
      </c>
      <c r="G1220" s="35">
        <v>104</v>
      </c>
      <c r="H1220" s="5" t="s">
        <v>240</v>
      </c>
    </row>
    <row r="1221" spans="1:8" x14ac:dyDescent="0.25">
      <c r="A1221" s="288"/>
      <c r="B1221" s="268"/>
      <c r="C1221" s="25" t="s">
        <v>13</v>
      </c>
      <c r="D1221" s="265">
        <v>5</v>
      </c>
      <c r="E1221" s="98" t="s">
        <v>96</v>
      </c>
      <c r="F1221" s="15">
        <v>4</v>
      </c>
      <c r="G1221" s="35">
        <v>105</v>
      </c>
      <c r="H1221" s="5" t="s">
        <v>125</v>
      </c>
    </row>
    <row r="1222" spans="1:8" x14ac:dyDescent="0.25">
      <c r="A1222" s="288"/>
      <c r="B1222" s="268"/>
      <c r="C1222" s="25" t="s">
        <v>13</v>
      </c>
      <c r="D1222" s="263"/>
      <c r="E1222" s="98" t="s">
        <v>147</v>
      </c>
      <c r="F1222" s="15">
        <v>12</v>
      </c>
      <c r="G1222" s="35">
        <v>105</v>
      </c>
      <c r="H1222" s="4"/>
    </row>
    <row r="1223" spans="1:8" x14ac:dyDescent="0.25">
      <c r="A1223" s="288"/>
      <c r="B1223" s="268"/>
      <c r="C1223" s="25" t="s">
        <v>13</v>
      </c>
      <c r="D1223" s="263"/>
      <c r="E1223" s="98" t="s">
        <v>241</v>
      </c>
      <c r="F1223" s="15">
        <v>7</v>
      </c>
      <c r="G1223" s="35">
        <v>105</v>
      </c>
      <c r="H1223" s="5" t="s">
        <v>240</v>
      </c>
    </row>
    <row r="1224" spans="1:8" x14ac:dyDescent="0.25">
      <c r="A1224" s="288"/>
      <c r="B1224" s="268"/>
      <c r="C1224" s="25" t="s">
        <v>13</v>
      </c>
      <c r="D1224" s="264"/>
      <c r="E1224" s="98" t="s">
        <v>242</v>
      </c>
      <c r="F1224" s="15">
        <v>4</v>
      </c>
      <c r="G1224" s="35">
        <v>105</v>
      </c>
      <c r="H1224" s="5" t="s">
        <v>240</v>
      </c>
    </row>
    <row r="1225" spans="1:8" x14ac:dyDescent="0.25">
      <c r="A1225" s="288"/>
      <c r="B1225" s="268"/>
      <c r="C1225" s="25" t="s">
        <v>13</v>
      </c>
      <c r="D1225" s="265">
        <v>3</v>
      </c>
      <c r="E1225" s="98" t="s">
        <v>287</v>
      </c>
      <c r="F1225" s="15"/>
      <c r="G1225" s="35" t="s">
        <v>165</v>
      </c>
      <c r="H1225" s="4"/>
    </row>
    <row r="1226" spans="1:8" x14ac:dyDescent="0.25">
      <c r="A1226" s="288"/>
      <c r="B1226" s="268"/>
      <c r="C1226" s="25" t="s">
        <v>13</v>
      </c>
      <c r="D1226" s="263"/>
      <c r="E1226" s="98" t="s">
        <v>206</v>
      </c>
      <c r="F1226" s="15">
        <v>14</v>
      </c>
      <c r="G1226" s="35" t="s">
        <v>165</v>
      </c>
      <c r="H1226" s="4"/>
    </row>
    <row r="1227" spans="1:8" x14ac:dyDescent="0.25">
      <c r="A1227" s="288"/>
      <c r="B1227" s="268"/>
      <c r="C1227" s="25" t="s">
        <v>13</v>
      </c>
      <c r="D1227" s="264"/>
      <c r="E1227" s="98" t="s">
        <v>85</v>
      </c>
      <c r="F1227" s="15">
        <v>4</v>
      </c>
      <c r="G1227" s="35" t="s">
        <v>165</v>
      </c>
      <c r="H1227" s="4"/>
    </row>
    <row r="1228" spans="1:8" x14ac:dyDescent="0.25">
      <c r="A1228" s="289"/>
      <c r="B1228" s="269"/>
      <c r="C1228" s="25" t="s">
        <v>13</v>
      </c>
      <c r="D1228" s="248">
        <v>2</v>
      </c>
      <c r="E1228" s="98" t="s">
        <v>218</v>
      </c>
      <c r="F1228" s="15"/>
      <c r="G1228" s="35" t="s">
        <v>165</v>
      </c>
      <c r="H1228" s="4"/>
    </row>
    <row r="1229" spans="1:8" x14ac:dyDescent="0.25">
      <c r="A1229" s="287">
        <v>46154</v>
      </c>
      <c r="B1229" s="261" t="s">
        <v>5</v>
      </c>
      <c r="C1229" s="25" t="s">
        <v>6</v>
      </c>
      <c r="D1229" s="265">
        <v>5</v>
      </c>
      <c r="E1229" s="98" t="s">
        <v>147</v>
      </c>
      <c r="F1229" s="15">
        <v>35</v>
      </c>
      <c r="G1229" s="35">
        <v>110</v>
      </c>
      <c r="H1229" s="5" t="s">
        <v>125</v>
      </c>
    </row>
    <row r="1230" spans="1:8" x14ac:dyDescent="0.25">
      <c r="A1230" s="288"/>
      <c r="B1230" s="268"/>
      <c r="C1230" s="25" t="s">
        <v>6</v>
      </c>
      <c r="D1230" s="263"/>
      <c r="E1230" s="98" t="s">
        <v>205</v>
      </c>
      <c r="F1230" s="15">
        <v>6</v>
      </c>
      <c r="G1230" s="35">
        <v>110</v>
      </c>
      <c r="H1230" s="4"/>
    </row>
    <row r="1231" spans="1:8" x14ac:dyDescent="0.25">
      <c r="A1231" s="288"/>
      <c r="B1231" s="268"/>
      <c r="C1231" s="25" t="s">
        <v>6</v>
      </c>
      <c r="D1231" s="263"/>
      <c r="E1231" s="98" t="s">
        <v>96</v>
      </c>
      <c r="F1231" s="15">
        <v>6</v>
      </c>
      <c r="G1231" s="35">
        <v>110</v>
      </c>
      <c r="H1231" s="4"/>
    </row>
    <row r="1232" spans="1:8" x14ac:dyDescent="0.25">
      <c r="A1232" s="288"/>
      <c r="B1232" s="268"/>
      <c r="C1232" s="25" t="s">
        <v>6</v>
      </c>
      <c r="D1232" s="264"/>
      <c r="E1232" s="98" t="s">
        <v>199</v>
      </c>
      <c r="F1232" s="15">
        <v>3.6</v>
      </c>
      <c r="G1232" s="35">
        <v>110</v>
      </c>
      <c r="H1232" s="4"/>
    </row>
    <row r="1233" spans="1:8" x14ac:dyDescent="0.25">
      <c r="A1233" s="288"/>
      <c r="B1233" s="268"/>
      <c r="C1233" s="25" t="s">
        <v>6</v>
      </c>
      <c r="D1233" s="265">
        <v>4</v>
      </c>
      <c r="E1233" s="98" t="s">
        <v>71</v>
      </c>
      <c r="F1233" s="15">
        <v>1.5</v>
      </c>
      <c r="G1233" s="35">
        <v>116</v>
      </c>
      <c r="H1233" s="5" t="s">
        <v>125</v>
      </c>
    </row>
    <row r="1234" spans="1:8" x14ac:dyDescent="0.25">
      <c r="A1234" s="288"/>
      <c r="B1234" s="268"/>
      <c r="C1234" s="25" t="s">
        <v>6</v>
      </c>
      <c r="D1234" s="263"/>
      <c r="E1234" s="98" t="s">
        <v>212</v>
      </c>
      <c r="F1234" s="15">
        <v>6</v>
      </c>
      <c r="G1234" s="35">
        <v>116</v>
      </c>
      <c r="H1234" s="4"/>
    </row>
    <row r="1235" spans="1:8" x14ac:dyDescent="0.25">
      <c r="A1235" s="288"/>
      <c r="B1235" s="268"/>
      <c r="C1235" s="25" t="s">
        <v>6</v>
      </c>
      <c r="D1235" s="264"/>
      <c r="E1235" s="98" t="s">
        <v>93</v>
      </c>
      <c r="F1235" s="15">
        <v>2</v>
      </c>
      <c r="G1235" s="35">
        <v>116</v>
      </c>
      <c r="H1235" s="4"/>
    </row>
    <row r="1236" spans="1:8" x14ac:dyDescent="0.25">
      <c r="A1236" s="288"/>
      <c r="B1236" s="268"/>
      <c r="C1236" s="25" t="s">
        <v>6</v>
      </c>
      <c r="D1236" s="265">
        <v>6</v>
      </c>
      <c r="E1236" s="98" t="s">
        <v>217</v>
      </c>
      <c r="F1236" s="15">
        <v>60</v>
      </c>
      <c r="G1236" s="35">
        <v>109</v>
      </c>
      <c r="H1236" s="5" t="s">
        <v>125</v>
      </c>
    </row>
    <row r="1237" spans="1:8" x14ac:dyDescent="0.25">
      <c r="A1237" s="288"/>
      <c r="B1237" s="268"/>
      <c r="C1237" s="25" t="s">
        <v>6</v>
      </c>
      <c r="D1237" s="264"/>
      <c r="E1237" s="98" t="s">
        <v>217</v>
      </c>
      <c r="F1237" s="15">
        <v>30</v>
      </c>
      <c r="G1237" s="35">
        <v>108</v>
      </c>
      <c r="H1237" s="4"/>
    </row>
    <row r="1238" spans="1:8" x14ac:dyDescent="0.25">
      <c r="A1238" s="288"/>
      <c r="B1238" s="268"/>
      <c r="C1238" s="25" t="s">
        <v>6</v>
      </c>
      <c r="D1238" s="265">
        <v>6</v>
      </c>
      <c r="E1238" s="98" t="s">
        <v>260</v>
      </c>
      <c r="F1238" s="15">
        <v>61</v>
      </c>
      <c r="G1238" s="35">
        <v>116</v>
      </c>
      <c r="H1238" s="5" t="s">
        <v>125</v>
      </c>
    </row>
    <row r="1239" spans="1:8" x14ac:dyDescent="0.25">
      <c r="A1239" s="288"/>
      <c r="B1239" s="268"/>
      <c r="C1239" s="25" t="s">
        <v>6</v>
      </c>
      <c r="D1239" s="264"/>
      <c r="E1239" s="143" t="s">
        <v>271</v>
      </c>
      <c r="F1239" s="15">
        <v>61</v>
      </c>
      <c r="G1239" s="35">
        <v>116</v>
      </c>
      <c r="H1239" s="4"/>
    </row>
    <row r="1240" spans="1:8" x14ac:dyDescent="0.25">
      <c r="A1240" s="288"/>
      <c r="B1240" s="268"/>
      <c r="C1240" s="25" t="s">
        <v>6</v>
      </c>
      <c r="D1240" s="265">
        <v>6</v>
      </c>
      <c r="E1240" s="98" t="s">
        <v>260</v>
      </c>
      <c r="F1240" s="15">
        <v>45</v>
      </c>
      <c r="G1240" s="35">
        <v>116</v>
      </c>
      <c r="H1240" s="4"/>
    </row>
    <row r="1241" spans="1:8" x14ac:dyDescent="0.25">
      <c r="A1241" s="288"/>
      <c r="B1241" s="268"/>
      <c r="C1241" s="25" t="s">
        <v>6</v>
      </c>
      <c r="D1241" s="263"/>
      <c r="E1241" s="143" t="s">
        <v>271</v>
      </c>
      <c r="F1241" s="15">
        <v>15</v>
      </c>
      <c r="G1241" s="35">
        <v>116</v>
      </c>
      <c r="H1241" s="4"/>
    </row>
    <row r="1242" spans="1:8" x14ac:dyDescent="0.25">
      <c r="A1242" s="288"/>
      <c r="B1242" s="268"/>
      <c r="C1242" s="25" t="s">
        <v>6</v>
      </c>
      <c r="D1242" s="264"/>
      <c r="E1242" s="98" t="s">
        <v>202</v>
      </c>
      <c r="F1242" s="15">
        <v>30</v>
      </c>
      <c r="G1242" s="35">
        <v>116</v>
      </c>
      <c r="H1242" s="4"/>
    </row>
    <row r="1243" spans="1:8" x14ac:dyDescent="0.25">
      <c r="A1243" s="288"/>
      <c r="B1243" s="268"/>
      <c r="C1243" s="25" t="s">
        <v>13</v>
      </c>
      <c r="D1243" s="248">
        <v>4</v>
      </c>
      <c r="E1243" s="98" t="s">
        <v>199</v>
      </c>
      <c r="F1243" s="15">
        <v>7.5</v>
      </c>
      <c r="G1243" s="35">
        <v>107</v>
      </c>
      <c r="H1243" s="5" t="s">
        <v>125</v>
      </c>
    </row>
    <row r="1244" spans="1:8" ht="31.5" x14ac:dyDescent="0.25">
      <c r="A1244" s="288"/>
      <c r="B1244" s="268"/>
      <c r="C1244" s="25" t="s">
        <v>6</v>
      </c>
      <c r="D1244" s="248">
        <v>4</v>
      </c>
      <c r="E1244" s="98" t="s">
        <v>115</v>
      </c>
      <c r="F1244" s="15">
        <v>12</v>
      </c>
      <c r="G1244" s="35" t="s">
        <v>75</v>
      </c>
      <c r="H1244" s="4" t="s">
        <v>261</v>
      </c>
    </row>
    <row r="1245" spans="1:8" x14ac:dyDescent="0.25">
      <c r="A1245" s="289"/>
      <c r="B1245" s="269"/>
      <c r="C1245" s="25" t="s">
        <v>6</v>
      </c>
      <c r="D1245" s="248">
        <v>2</v>
      </c>
      <c r="E1245" s="98" t="s">
        <v>229</v>
      </c>
      <c r="F1245" s="15"/>
      <c r="G1245" s="35"/>
      <c r="H1245" s="4"/>
    </row>
    <row r="1246" spans="1:8" ht="31.5" x14ac:dyDescent="0.25">
      <c r="A1246" s="287">
        <v>46155</v>
      </c>
      <c r="B1246" s="261" t="s">
        <v>36</v>
      </c>
      <c r="C1246" s="25" t="s">
        <v>6</v>
      </c>
      <c r="D1246" s="265">
        <v>4</v>
      </c>
      <c r="E1246" s="98" t="s">
        <v>93</v>
      </c>
      <c r="F1246" s="15">
        <v>9</v>
      </c>
      <c r="G1246" s="35" t="s">
        <v>165</v>
      </c>
      <c r="H1246" s="4" t="s">
        <v>262</v>
      </c>
    </row>
    <row r="1247" spans="1:8" x14ac:dyDescent="0.25">
      <c r="A1247" s="288"/>
      <c r="B1247" s="268"/>
      <c r="C1247" s="25" t="s">
        <v>6</v>
      </c>
      <c r="D1247" s="264"/>
      <c r="E1247" s="98" t="s">
        <v>93</v>
      </c>
      <c r="F1247" s="15">
        <v>3</v>
      </c>
      <c r="G1247" s="35" t="s">
        <v>165</v>
      </c>
      <c r="H1247" s="4" t="s">
        <v>263</v>
      </c>
    </row>
    <row r="1248" spans="1:8" x14ac:dyDescent="0.25">
      <c r="A1248" s="288"/>
      <c r="B1248" s="268"/>
      <c r="C1248" s="25" t="s">
        <v>13</v>
      </c>
      <c r="D1248" s="265">
        <v>4</v>
      </c>
      <c r="E1248" s="98" t="s">
        <v>147</v>
      </c>
      <c r="F1248" s="15">
        <v>4.8</v>
      </c>
      <c r="G1248" s="35">
        <v>104</v>
      </c>
      <c r="H1248" s="5" t="s">
        <v>125</v>
      </c>
    </row>
    <row r="1249" spans="1:8" x14ac:dyDescent="0.25">
      <c r="A1249" s="288"/>
      <c r="B1249" s="268"/>
      <c r="C1249" s="25" t="s">
        <v>13</v>
      </c>
      <c r="D1249" s="263"/>
      <c r="E1249" s="98" t="s">
        <v>241</v>
      </c>
      <c r="F1249" s="15">
        <v>3</v>
      </c>
      <c r="G1249" s="35">
        <v>104</v>
      </c>
      <c r="H1249" s="5" t="s">
        <v>240</v>
      </c>
    </row>
    <row r="1250" spans="1:8" x14ac:dyDescent="0.25">
      <c r="A1250" s="288"/>
      <c r="B1250" s="268"/>
      <c r="C1250" s="25" t="s">
        <v>13</v>
      </c>
      <c r="D1250" s="263"/>
      <c r="E1250" s="98" t="s">
        <v>242</v>
      </c>
      <c r="F1250" s="15">
        <v>2</v>
      </c>
      <c r="G1250" s="35">
        <v>104</v>
      </c>
      <c r="H1250" s="5" t="s">
        <v>240</v>
      </c>
    </row>
    <row r="1251" spans="1:8" x14ac:dyDescent="0.25">
      <c r="A1251" s="288"/>
      <c r="B1251" s="268"/>
      <c r="C1251" s="25" t="s">
        <v>13</v>
      </c>
      <c r="D1251" s="264"/>
      <c r="E1251" s="98" t="s">
        <v>96</v>
      </c>
      <c r="F1251" s="15">
        <v>2</v>
      </c>
      <c r="G1251" s="35">
        <v>104</v>
      </c>
      <c r="H1251" s="4"/>
    </row>
    <row r="1252" spans="1:8" x14ac:dyDescent="0.25">
      <c r="A1252" s="288"/>
      <c r="B1252" s="268"/>
      <c r="C1252" s="25" t="s">
        <v>13</v>
      </c>
      <c r="D1252" s="265">
        <v>5</v>
      </c>
      <c r="E1252" s="98" t="s">
        <v>147</v>
      </c>
      <c r="F1252" s="15">
        <v>15</v>
      </c>
      <c r="G1252" s="35">
        <v>105</v>
      </c>
      <c r="H1252" s="5" t="s">
        <v>125</v>
      </c>
    </row>
    <row r="1253" spans="1:8" x14ac:dyDescent="0.25">
      <c r="A1253" s="288"/>
      <c r="B1253" s="268"/>
      <c r="C1253" s="25" t="s">
        <v>13</v>
      </c>
      <c r="D1253" s="263"/>
      <c r="E1253" s="98" t="s">
        <v>96</v>
      </c>
      <c r="F1253" s="15">
        <v>2</v>
      </c>
      <c r="G1253" s="35">
        <v>105</v>
      </c>
      <c r="H1253" s="5" t="s">
        <v>240</v>
      </c>
    </row>
    <row r="1254" spans="1:8" x14ac:dyDescent="0.25">
      <c r="A1254" s="288"/>
      <c r="B1254" s="268"/>
      <c r="C1254" s="25" t="s">
        <v>13</v>
      </c>
      <c r="D1254" s="263"/>
      <c r="E1254" s="98" t="s">
        <v>241</v>
      </c>
      <c r="F1254" s="15">
        <v>4</v>
      </c>
      <c r="G1254" s="35">
        <v>105</v>
      </c>
      <c r="H1254" s="5" t="s">
        <v>240</v>
      </c>
    </row>
    <row r="1255" spans="1:8" x14ac:dyDescent="0.25">
      <c r="A1255" s="288"/>
      <c r="B1255" s="268"/>
      <c r="C1255" s="25" t="s">
        <v>13</v>
      </c>
      <c r="D1255" s="264"/>
      <c r="E1255" s="98" t="s">
        <v>242</v>
      </c>
      <c r="F1255" s="15">
        <v>2</v>
      </c>
      <c r="G1255" s="35">
        <v>105</v>
      </c>
      <c r="H1255" s="5" t="s">
        <v>240</v>
      </c>
    </row>
    <row r="1256" spans="1:8" x14ac:dyDescent="0.25">
      <c r="A1256" s="288"/>
      <c r="B1256" s="268"/>
      <c r="C1256" s="25" t="s">
        <v>13</v>
      </c>
      <c r="D1256" s="265">
        <v>5</v>
      </c>
      <c r="E1256" s="98" t="s">
        <v>147</v>
      </c>
      <c r="F1256" s="15">
        <v>15</v>
      </c>
      <c r="G1256" s="35">
        <v>108</v>
      </c>
      <c r="H1256" s="5" t="s">
        <v>125</v>
      </c>
    </row>
    <row r="1257" spans="1:8" x14ac:dyDescent="0.25">
      <c r="A1257" s="288"/>
      <c r="B1257" s="268"/>
      <c r="C1257" s="25" t="s">
        <v>13</v>
      </c>
      <c r="D1257" s="263"/>
      <c r="E1257" s="98" t="s">
        <v>96</v>
      </c>
      <c r="F1257" s="15">
        <v>3</v>
      </c>
      <c r="G1257" s="35">
        <v>108</v>
      </c>
      <c r="H1257" s="5" t="s">
        <v>240</v>
      </c>
    </row>
    <row r="1258" spans="1:8" x14ac:dyDescent="0.25">
      <c r="A1258" s="288"/>
      <c r="B1258" s="268"/>
      <c r="C1258" s="25" t="s">
        <v>13</v>
      </c>
      <c r="D1258" s="263"/>
      <c r="E1258" s="98" t="s">
        <v>241</v>
      </c>
      <c r="F1258" s="15">
        <v>5</v>
      </c>
      <c r="G1258" s="35">
        <v>108</v>
      </c>
      <c r="H1258" s="5" t="s">
        <v>240</v>
      </c>
    </row>
    <row r="1259" spans="1:8" x14ac:dyDescent="0.25">
      <c r="A1259" s="288"/>
      <c r="B1259" s="268"/>
      <c r="C1259" s="25" t="s">
        <v>13</v>
      </c>
      <c r="D1259" s="264"/>
      <c r="E1259" s="98" t="s">
        <v>242</v>
      </c>
      <c r="F1259" s="15">
        <v>3</v>
      </c>
      <c r="G1259" s="35">
        <v>108</v>
      </c>
      <c r="H1259" s="5" t="s">
        <v>240</v>
      </c>
    </row>
    <row r="1260" spans="1:8" ht="31.5" x14ac:dyDescent="0.25">
      <c r="A1260" s="288"/>
      <c r="B1260" s="268"/>
      <c r="C1260" s="25" t="s">
        <v>13</v>
      </c>
      <c r="D1260" s="265">
        <v>2</v>
      </c>
      <c r="E1260" s="98" t="s">
        <v>264</v>
      </c>
      <c r="F1260" s="15">
        <v>2</v>
      </c>
      <c r="G1260" s="35" t="s">
        <v>165</v>
      </c>
      <c r="H1260" s="4" t="s">
        <v>265</v>
      </c>
    </row>
    <row r="1261" spans="1:8" x14ac:dyDescent="0.25">
      <c r="A1261" s="288"/>
      <c r="B1261" s="268"/>
      <c r="C1261" s="25" t="s">
        <v>13</v>
      </c>
      <c r="D1261" s="264"/>
      <c r="E1261" s="98" t="s">
        <v>206</v>
      </c>
      <c r="F1261" s="15">
        <v>20</v>
      </c>
      <c r="G1261" s="35">
        <v>112</v>
      </c>
      <c r="H1261" s="4"/>
    </row>
    <row r="1262" spans="1:8" x14ac:dyDescent="0.25">
      <c r="A1262" s="289"/>
      <c r="B1262" s="269"/>
      <c r="C1262" s="25" t="s">
        <v>13</v>
      </c>
      <c r="D1262" s="248">
        <v>4</v>
      </c>
      <c r="E1262" s="98" t="s">
        <v>308</v>
      </c>
      <c r="F1262" s="15">
        <v>25</v>
      </c>
      <c r="G1262" s="35" t="s">
        <v>165</v>
      </c>
      <c r="H1262" s="5" t="s">
        <v>125</v>
      </c>
    </row>
    <row r="1263" spans="1:8" x14ac:dyDescent="0.25">
      <c r="A1263" s="287">
        <v>46155</v>
      </c>
      <c r="B1263" s="261" t="s">
        <v>5</v>
      </c>
      <c r="C1263" s="25" t="s">
        <v>13</v>
      </c>
      <c r="D1263" s="248">
        <v>4</v>
      </c>
      <c r="E1263" s="98" t="s">
        <v>199</v>
      </c>
      <c r="F1263" s="15">
        <v>7.5</v>
      </c>
      <c r="G1263" s="35">
        <v>110</v>
      </c>
      <c r="H1263" s="5" t="s">
        <v>125</v>
      </c>
    </row>
    <row r="1264" spans="1:8" x14ac:dyDescent="0.25">
      <c r="A1264" s="288"/>
      <c r="B1264" s="268"/>
      <c r="C1264" s="25" t="s">
        <v>13</v>
      </c>
      <c r="D1264" s="248">
        <v>5</v>
      </c>
      <c r="E1264" s="98" t="s">
        <v>256</v>
      </c>
      <c r="F1264" s="15"/>
      <c r="G1264" s="35">
        <v>105</v>
      </c>
      <c r="H1264" s="5" t="s">
        <v>125</v>
      </c>
    </row>
    <row r="1265" spans="1:8" x14ac:dyDescent="0.25">
      <c r="A1265" s="288"/>
      <c r="B1265" s="268"/>
      <c r="C1265" s="25" t="s">
        <v>6</v>
      </c>
      <c r="D1265" s="265">
        <v>5</v>
      </c>
      <c r="E1265" s="98" t="s">
        <v>217</v>
      </c>
      <c r="F1265" s="15">
        <v>30</v>
      </c>
      <c r="G1265" s="35">
        <v>109</v>
      </c>
      <c r="H1265" s="5" t="s">
        <v>125</v>
      </c>
    </row>
    <row r="1266" spans="1:8" x14ac:dyDescent="0.25">
      <c r="A1266" s="288"/>
      <c r="B1266" s="268"/>
      <c r="C1266" s="25" t="s">
        <v>6</v>
      </c>
      <c r="D1266" s="264"/>
      <c r="E1266" s="98" t="s">
        <v>217</v>
      </c>
      <c r="F1266" s="15">
        <v>50</v>
      </c>
      <c r="G1266" s="35">
        <v>110</v>
      </c>
      <c r="H1266" s="5" t="s">
        <v>125</v>
      </c>
    </row>
    <row r="1267" spans="1:8" x14ac:dyDescent="0.25">
      <c r="A1267" s="288"/>
      <c r="B1267" s="268"/>
      <c r="C1267" s="25" t="s">
        <v>6</v>
      </c>
      <c r="D1267" s="265">
        <v>5</v>
      </c>
      <c r="E1267" s="98" t="s">
        <v>35</v>
      </c>
      <c r="F1267" s="15">
        <v>40</v>
      </c>
      <c r="G1267" s="35">
        <v>116</v>
      </c>
      <c r="H1267" s="5" t="s">
        <v>125</v>
      </c>
    </row>
    <row r="1268" spans="1:8" x14ac:dyDescent="0.25">
      <c r="A1268" s="288"/>
      <c r="B1268" s="268"/>
      <c r="C1268" s="25" t="s">
        <v>6</v>
      </c>
      <c r="D1268" s="264"/>
      <c r="E1268" s="98" t="s">
        <v>96</v>
      </c>
      <c r="F1268" s="15">
        <v>4</v>
      </c>
      <c r="G1268" s="35">
        <v>116</v>
      </c>
      <c r="H1268" s="4"/>
    </row>
    <row r="1269" spans="1:8" x14ac:dyDescent="0.25">
      <c r="A1269" s="288"/>
      <c r="B1269" s="268"/>
      <c r="C1269" s="25" t="s">
        <v>6</v>
      </c>
      <c r="D1269" s="265">
        <v>4</v>
      </c>
      <c r="E1269" s="98" t="s">
        <v>108</v>
      </c>
      <c r="F1269" s="15">
        <v>4</v>
      </c>
      <c r="G1269" s="35">
        <v>116</v>
      </c>
      <c r="H1269" s="5" t="s">
        <v>125</v>
      </c>
    </row>
    <row r="1270" spans="1:8" x14ac:dyDescent="0.25">
      <c r="A1270" s="288"/>
      <c r="B1270" s="268"/>
      <c r="C1270" s="25" t="s">
        <v>6</v>
      </c>
      <c r="D1270" s="263"/>
      <c r="E1270" s="98" t="s">
        <v>212</v>
      </c>
      <c r="F1270" s="15">
        <v>6</v>
      </c>
      <c r="G1270" s="35">
        <v>116</v>
      </c>
      <c r="H1270" s="4"/>
    </row>
    <row r="1271" spans="1:8" x14ac:dyDescent="0.25">
      <c r="A1271" s="288"/>
      <c r="B1271" s="268"/>
      <c r="C1271" s="25" t="s">
        <v>6</v>
      </c>
      <c r="D1271" s="264"/>
      <c r="E1271" s="98" t="s">
        <v>93</v>
      </c>
      <c r="F1271" s="15">
        <v>6</v>
      </c>
      <c r="G1271" s="35">
        <v>116</v>
      </c>
      <c r="H1271" s="4" t="s">
        <v>266</v>
      </c>
    </row>
    <row r="1272" spans="1:8" x14ac:dyDescent="0.25">
      <c r="A1272" s="288"/>
      <c r="B1272" s="268"/>
      <c r="C1272" s="25" t="s">
        <v>6</v>
      </c>
      <c r="D1272" s="290">
        <v>5</v>
      </c>
      <c r="E1272" s="98" t="s">
        <v>267</v>
      </c>
      <c r="F1272" s="15">
        <v>55</v>
      </c>
      <c r="G1272" s="35" t="s">
        <v>268</v>
      </c>
      <c r="H1272" s="4" t="s">
        <v>270</v>
      </c>
    </row>
    <row r="1273" spans="1:8" x14ac:dyDescent="0.25">
      <c r="A1273" s="288"/>
      <c r="B1273" s="268"/>
      <c r="C1273" s="25" t="s">
        <v>6</v>
      </c>
      <c r="D1273" s="291"/>
      <c r="E1273" s="155" t="s">
        <v>269</v>
      </c>
      <c r="F1273" s="15">
        <v>44</v>
      </c>
      <c r="G1273" s="35" t="s">
        <v>268</v>
      </c>
      <c r="H1273" s="4" t="s">
        <v>270</v>
      </c>
    </row>
    <row r="1274" spans="1:8" x14ac:dyDescent="0.25">
      <c r="A1274" s="288"/>
      <c r="B1274" s="268"/>
      <c r="C1274" s="25" t="s">
        <v>6</v>
      </c>
      <c r="D1274" s="265">
        <v>5</v>
      </c>
      <c r="E1274" s="98" t="s">
        <v>260</v>
      </c>
      <c r="F1274" s="15">
        <v>84</v>
      </c>
      <c r="G1274" s="35" t="s">
        <v>273</v>
      </c>
      <c r="H1274" s="4"/>
    </row>
    <row r="1275" spans="1:8" x14ac:dyDescent="0.25">
      <c r="A1275" s="288"/>
      <c r="B1275" s="268"/>
      <c r="C1275" s="25" t="s">
        <v>6</v>
      </c>
      <c r="D1275" s="263"/>
      <c r="E1275" s="98" t="s">
        <v>202</v>
      </c>
      <c r="F1275" s="15">
        <v>46</v>
      </c>
      <c r="G1275" s="35" t="s">
        <v>273</v>
      </c>
      <c r="H1275" s="4"/>
    </row>
    <row r="1276" spans="1:8" x14ac:dyDescent="0.25">
      <c r="A1276" s="288"/>
      <c r="B1276" s="268"/>
      <c r="C1276" s="25" t="s">
        <v>6</v>
      </c>
      <c r="D1276" s="264"/>
      <c r="E1276" s="98" t="s">
        <v>272</v>
      </c>
      <c r="F1276" s="15">
        <v>41</v>
      </c>
      <c r="G1276" s="35" t="s">
        <v>273</v>
      </c>
      <c r="H1276" s="4"/>
    </row>
    <row r="1277" spans="1:8" ht="16.5" thickBot="1" x14ac:dyDescent="0.3">
      <c r="A1277" s="288"/>
      <c r="B1277" s="268"/>
      <c r="C1277" s="24" t="s">
        <v>6</v>
      </c>
      <c r="D1277" s="245">
        <v>2</v>
      </c>
      <c r="E1277" s="123" t="s">
        <v>229</v>
      </c>
      <c r="F1277" s="72"/>
      <c r="G1277" s="67"/>
      <c r="H1277" s="73"/>
    </row>
    <row r="1278" spans="1:8" x14ac:dyDescent="0.25">
      <c r="A1278" s="270">
        <v>46156</v>
      </c>
      <c r="B1278" s="267" t="s">
        <v>36</v>
      </c>
      <c r="C1278" s="74" t="s">
        <v>13</v>
      </c>
      <c r="D1278" s="247">
        <v>7</v>
      </c>
      <c r="E1278" s="165" t="s">
        <v>147</v>
      </c>
      <c r="F1278" s="75">
        <v>33</v>
      </c>
      <c r="G1278" s="76">
        <v>108</v>
      </c>
      <c r="H1278" s="77" t="s">
        <v>125</v>
      </c>
    </row>
    <row r="1279" spans="1:8" x14ac:dyDescent="0.25">
      <c r="A1279" s="271"/>
      <c r="B1279" s="268"/>
      <c r="C1279" s="25" t="s">
        <v>13</v>
      </c>
      <c r="D1279" s="248"/>
      <c r="E1279" s="98" t="s">
        <v>241</v>
      </c>
      <c r="F1279" s="15">
        <v>15</v>
      </c>
      <c r="G1279" s="35">
        <v>108</v>
      </c>
      <c r="H1279" s="66" t="s">
        <v>240</v>
      </c>
    </row>
    <row r="1280" spans="1:8" x14ac:dyDescent="0.25">
      <c r="A1280" s="271"/>
      <c r="B1280" s="268"/>
      <c r="C1280" s="25" t="s">
        <v>13</v>
      </c>
      <c r="D1280" s="248"/>
      <c r="E1280" s="98" t="s">
        <v>242</v>
      </c>
      <c r="F1280" s="15">
        <v>9</v>
      </c>
      <c r="G1280" s="35">
        <v>108</v>
      </c>
      <c r="H1280" s="66" t="s">
        <v>240</v>
      </c>
    </row>
    <row r="1281" spans="1:8" x14ac:dyDescent="0.25">
      <c r="A1281" s="271"/>
      <c r="B1281" s="268"/>
      <c r="C1281" s="25" t="s">
        <v>13</v>
      </c>
      <c r="D1281" s="248"/>
      <c r="E1281" s="98" t="s">
        <v>96</v>
      </c>
      <c r="F1281" s="15">
        <v>9</v>
      </c>
      <c r="G1281" s="35">
        <v>108</v>
      </c>
      <c r="H1281" s="66" t="s">
        <v>240</v>
      </c>
    </row>
    <row r="1282" spans="1:8" x14ac:dyDescent="0.25">
      <c r="A1282" s="271"/>
      <c r="B1282" s="268"/>
      <c r="C1282" s="25" t="s">
        <v>13</v>
      </c>
      <c r="D1282" s="248">
        <v>6</v>
      </c>
      <c r="E1282" s="98" t="s">
        <v>147</v>
      </c>
      <c r="F1282" s="15">
        <v>21</v>
      </c>
      <c r="G1282" s="35">
        <v>109</v>
      </c>
      <c r="H1282" s="78" t="s">
        <v>125</v>
      </c>
    </row>
    <row r="1283" spans="1:8" x14ac:dyDescent="0.25">
      <c r="A1283" s="271"/>
      <c r="B1283" s="268"/>
      <c r="C1283" s="25" t="s">
        <v>13</v>
      </c>
      <c r="D1283" s="248"/>
      <c r="E1283" s="98" t="s">
        <v>241</v>
      </c>
      <c r="F1283" s="15">
        <v>8</v>
      </c>
      <c r="G1283" s="35">
        <v>109</v>
      </c>
      <c r="H1283" s="66" t="s">
        <v>240</v>
      </c>
    </row>
    <row r="1284" spans="1:8" x14ac:dyDescent="0.25">
      <c r="A1284" s="271"/>
      <c r="B1284" s="268"/>
      <c r="C1284" s="25" t="s">
        <v>13</v>
      </c>
      <c r="D1284" s="248"/>
      <c r="E1284" s="98" t="s">
        <v>242</v>
      </c>
      <c r="F1284" s="15">
        <v>2</v>
      </c>
      <c r="G1284" s="35">
        <v>109</v>
      </c>
      <c r="H1284" s="66" t="s">
        <v>240</v>
      </c>
    </row>
    <row r="1285" spans="1:8" x14ac:dyDescent="0.25">
      <c r="A1285" s="271"/>
      <c r="B1285" s="268"/>
      <c r="C1285" s="25" t="s">
        <v>13</v>
      </c>
      <c r="D1285" s="248"/>
      <c r="E1285" s="98" t="s">
        <v>96</v>
      </c>
      <c r="F1285" s="15">
        <v>5</v>
      </c>
      <c r="G1285" s="35">
        <v>109</v>
      </c>
      <c r="H1285" s="66" t="s">
        <v>240</v>
      </c>
    </row>
    <row r="1286" spans="1:8" x14ac:dyDescent="0.25">
      <c r="A1286" s="271"/>
      <c r="B1286" s="268"/>
      <c r="C1286" s="25" t="s">
        <v>13</v>
      </c>
      <c r="D1286" s="248">
        <v>6</v>
      </c>
      <c r="E1286" s="98" t="s">
        <v>308</v>
      </c>
      <c r="F1286" s="15">
        <v>2</v>
      </c>
      <c r="G1286" s="35" t="s">
        <v>165</v>
      </c>
      <c r="H1286" s="78"/>
    </row>
    <row r="1287" spans="1:8" x14ac:dyDescent="0.25">
      <c r="A1287" s="271"/>
      <c r="B1287" s="268"/>
      <c r="C1287" s="25" t="s">
        <v>13</v>
      </c>
      <c r="D1287" s="248"/>
      <c r="E1287" s="98" t="s">
        <v>214</v>
      </c>
      <c r="F1287" s="15">
        <v>4</v>
      </c>
      <c r="G1287" s="35" t="s">
        <v>165</v>
      </c>
      <c r="H1287" s="78" t="s">
        <v>233</v>
      </c>
    </row>
    <row r="1288" spans="1:8" x14ac:dyDescent="0.25">
      <c r="A1288" s="271"/>
      <c r="B1288" s="268"/>
      <c r="C1288" s="25" t="s">
        <v>13</v>
      </c>
      <c r="D1288" s="248"/>
      <c r="E1288" s="98" t="s">
        <v>58</v>
      </c>
      <c r="F1288" s="15">
        <v>2</v>
      </c>
      <c r="G1288" s="35" t="s">
        <v>165</v>
      </c>
      <c r="H1288" s="78"/>
    </row>
    <row r="1289" spans="1:8" x14ac:dyDescent="0.25">
      <c r="A1289" s="271"/>
      <c r="B1289" s="268"/>
      <c r="C1289" s="25" t="s">
        <v>13</v>
      </c>
      <c r="D1289" s="248"/>
      <c r="E1289" s="98" t="s">
        <v>206</v>
      </c>
      <c r="F1289" s="15">
        <v>8</v>
      </c>
      <c r="G1289" s="35" t="s">
        <v>165</v>
      </c>
      <c r="H1289" s="78"/>
    </row>
    <row r="1290" spans="1:8" x14ac:dyDescent="0.25">
      <c r="A1290" s="271"/>
      <c r="B1290" s="268"/>
      <c r="C1290" s="25" t="s">
        <v>13</v>
      </c>
      <c r="D1290" s="248"/>
      <c r="E1290" s="98" t="s">
        <v>206</v>
      </c>
      <c r="F1290" s="15">
        <v>7</v>
      </c>
      <c r="G1290" s="35">
        <v>117</v>
      </c>
      <c r="H1290" s="78"/>
    </row>
    <row r="1291" spans="1:8" x14ac:dyDescent="0.25">
      <c r="A1291" s="271"/>
      <c r="B1291" s="268"/>
      <c r="C1291" s="25" t="s">
        <v>13</v>
      </c>
      <c r="D1291" s="248">
        <v>3</v>
      </c>
      <c r="E1291" s="143" t="s">
        <v>283</v>
      </c>
      <c r="F1291" s="15">
        <v>50</v>
      </c>
      <c r="G1291" s="35">
        <v>105</v>
      </c>
      <c r="H1291" s="78"/>
    </row>
    <row r="1292" spans="1:8" x14ac:dyDescent="0.25">
      <c r="A1292" s="271"/>
      <c r="B1292" s="268"/>
      <c r="C1292" s="25" t="s">
        <v>13</v>
      </c>
      <c r="D1292" s="248"/>
      <c r="E1292" s="98" t="s">
        <v>94</v>
      </c>
      <c r="F1292" s="15">
        <v>1</v>
      </c>
      <c r="G1292" s="35">
        <v>114</v>
      </c>
      <c r="H1292" s="78" t="s">
        <v>277</v>
      </c>
    </row>
    <row r="1293" spans="1:8" x14ac:dyDescent="0.25">
      <c r="A1293" s="271"/>
      <c r="B1293" s="268"/>
      <c r="C1293" s="25" t="s">
        <v>13</v>
      </c>
      <c r="D1293" s="248"/>
      <c r="E1293" s="98" t="s">
        <v>93</v>
      </c>
      <c r="F1293" s="15">
        <v>6</v>
      </c>
      <c r="G1293" s="35">
        <v>116</v>
      </c>
      <c r="H1293" s="78" t="s">
        <v>125</v>
      </c>
    </row>
    <row r="1294" spans="1:8" x14ac:dyDescent="0.25">
      <c r="A1294" s="271"/>
      <c r="B1294" s="268"/>
      <c r="C1294" s="25" t="s">
        <v>13</v>
      </c>
      <c r="D1294" s="248"/>
      <c r="E1294" s="98" t="s">
        <v>93</v>
      </c>
      <c r="F1294" s="15">
        <v>3</v>
      </c>
      <c r="G1294" s="35">
        <v>116</v>
      </c>
      <c r="H1294" s="78" t="s">
        <v>275</v>
      </c>
    </row>
    <row r="1295" spans="1:8" x14ac:dyDescent="0.25">
      <c r="A1295" s="272"/>
      <c r="B1295" s="269"/>
      <c r="C1295" s="25" t="s">
        <v>13</v>
      </c>
      <c r="D1295" s="248">
        <v>2</v>
      </c>
      <c r="E1295" s="98" t="s">
        <v>218</v>
      </c>
      <c r="F1295" s="15"/>
      <c r="G1295" s="35"/>
      <c r="H1295" s="78"/>
    </row>
    <row r="1296" spans="1:8" x14ac:dyDescent="0.25">
      <c r="A1296" s="258">
        <v>46156</v>
      </c>
      <c r="B1296" s="261" t="s">
        <v>5</v>
      </c>
      <c r="C1296" s="25" t="s">
        <v>6</v>
      </c>
      <c r="D1296" s="248">
        <v>4</v>
      </c>
      <c r="E1296" s="98" t="s">
        <v>260</v>
      </c>
      <c r="F1296" s="15">
        <v>30</v>
      </c>
      <c r="G1296" s="35">
        <v>116</v>
      </c>
      <c r="H1296" s="78" t="s">
        <v>125</v>
      </c>
    </row>
    <row r="1297" spans="1:8" x14ac:dyDescent="0.25">
      <c r="A1297" s="271"/>
      <c r="B1297" s="268"/>
      <c r="C1297" s="25" t="s">
        <v>6</v>
      </c>
      <c r="D1297" s="248"/>
      <c r="E1297" s="98" t="s">
        <v>202</v>
      </c>
      <c r="F1297" s="15">
        <v>30</v>
      </c>
      <c r="G1297" s="35">
        <v>116</v>
      </c>
      <c r="H1297" s="78"/>
    </row>
    <row r="1298" spans="1:8" x14ac:dyDescent="0.25">
      <c r="A1298" s="271"/>
      <c r="B1298" s="268"/>
      <c r="C1298" s="25" t="s">
        <v>6</v>
      </c>
      <c r="D1298" s="248">
        <v>4</v>
      </c>
      <c r="E1298" s="98" t="s">
        <v>212</v>
      </c>
      <c r="F1298" s="15">
        <v>2</v>
      </c>
      <c r="G1298" s="35">
        <v>116</v>
      </c>
      <c r="H1298" s="78" t="s">
        <v>277</v>
      </c>
    </row>
    <row r="1299" spans="1:8" x14ac:dyDescent="0.25">
      <c r="A1299" s="271"/>
      <c r="B1299" s="268"/>
      <c r="C1299" s="25" t="s">
        <v>6</v>
      </c>
      <c r="D1299" s="248"/>
      <c r="E1299" s="98" t="s">
        <v>93</v>
      </c>
      <c r="F1299" s="15">
        <v>2</v>
      </c>
      <c r="G1299" s="35">
        <v>116</v>
      </c>
      <c r="H1299" s="78" t="s">
        <v>125</v>
      </c>
    </row>
    <row r="1300" spans="1:8" x14ac:dyDescent="0.25">
      <c r="A1300" s="271"/>
      <c r="B1300" s="268"/>
      <c r="C1300" s="25" t="s">
        <v>6</v>
      </c>
      <c r="D1300" s="248"/>
      <c r="E1300" s="98" t="s">
        <v>212</v>
      </c>
      <c r="F1300" s="15">
        <v>4</v>
      </c>
      <c r="G1300" s="35">
        <v>116</v>
      </c>
      <c r="H1300" s="78" t="s">
        <v>276</v>
      </c>
    </row>
    <row r="1301" spans="1:8" x14ac:dyDescent="0.25">
      <c r="A1301" s="271"/>
      <c r="B1301" s="268"/>
      <c r="C1301" s="25" t="s">
        <v>6</v>
      </c>
      <c r="D1301" s="248"/>
      <c r="E1301" s="98" t="s">
        <v>93</v>
      </c>
      <c r="F1301" s="15">
        <v>1</v>
      </c>
      <c r="G1301" s="35">
        <v>116</v>
      </c>
      <c r="H1301" s="78"/>
    </row>
    <row r="1302" spans="1:8" x14ac:dyDescent="0.25">
      <c r="A1302" s="271"/>
      <c r="B1302" s="268"/>
      <c r="C1302" s="25" t="s">
        <v>6</v>
      </c>
      <c r="D1302" s="248"/>
      <c r="E1302" s="98" t="s">
        <v>71</v>
      </c>
      <c r="F1302" s="15">
        <v>1.5</v>
      </c>
      <c r="G1302" s="35">
        <v>116</v>
      </c>
      <c r="H1302" s="78"/>
    </row>
    <row r="1303" spans="1:8" x14ac:dyDescent="0.25">
      <c r="A1303" s="271"/>
      <c r="B1303" s="268"/>
      <c r="C1303" s="25" t="s">
        <v>6</v>
      </c>
      <c r="D1303" s="248">
        <v>4</v>
      </c>
      <c r="E1303" s="98" t="s">
        <v>94</v>
      </c>
      <c r="F1303" s="15">
        <v>8</v>
      </c>
      <c r="G1303" s="35">
        <v>116</v>
      </c>
      <c r="H1303" s="78" t="s">
        <v>125</v>
      </c>
    </row>
    <row r="1304" spans="1:8" x14ac:dyDescent="0.25">
      <c r="A1304" s="271"/>
      <c r="B1304" s="268"/>
      <c r="C1304" s="25" t="s">
        <v>6</v>
      </c>
      <c r="D1304" s="248"/>
      <c r="E1304" s="98" t="s">
        <v>213</v>
      </c>
      <c r="F1304" s="15">
        <v>16</v>
      </c>
      <c r="G1304" s="35">
        <v>116</v>
      </c>
      <c r="H1304" s="78" t="s">
        <v>277</v>
      </c>
    </row>
    <row r="1305" spans="1:8" x14ac:dyDescent="0.25">
      <c r="A1305" s="271"/>
      <c r="B1305" s="268"/>
      <c r="C1305" s="25" t="s">
        <v>6</v>
      </c>
      <c r="D1305" s="248">
        <v>4</v>
      </c>
      <c r="E1305" s="98" t="s">
        <v>73</v>
      </c>
      <c r="F1305" s="15">
        <v>11</v>
      </c>
      <c r="G1305" s="35">
        <v>112</v>
      </c>
      <c r="H1305" s="78" t="s">
        <v>125</v>
      </c>
    </row>
    <row r="1306" spans="1:8" x14ac:dyDescent="0.25">
      <c r="A1306" s="271"/>
      <c r="B1306" s="268"/>
      <c r="C1306" s="25" t="s">
        <v>6</v>
      </c>
      <c r="D1306" s="248"/>
      <c r="E1306" s="98" t="s">
        <v>310</v>
      </c>
      <c r="F1306" s="15">
        <v>3</v>
      </c>
      <c r="G1306" s="35">
        <v>112</v>
      </c>
      <c r="H1306" s="78"/>
    </row>
    <row r="1307" spans="1:8" x14ac:dyDescent="0.25">
      <c r="A1307" s="271"/>
      <c r="B1307" s="268"/>
      <c r="C1307" s="25" t="s">
        <v>6</v>
      </c>
      <c r="D1307" s="248"/>
      <c r="E1307" s="98" t="s">
        <v>110</v>
      </c>
      <c r="F1307" s="15">
        <v>1</v>
      </c>
      <c r="G1307" s="35">
        <v>112</v>
      </c>
      <c r="H1307" s="78"/>
    </row>
    <row r="1308" spans="1:8" x14ac:dyDescent="0.25">
      <c r="A1308" s="271"/>
      <c r="B1308" s="268"/>
      <c r="C1308" s="25" t="s">
        <v>6</v>
      </c>
      <c r="D1308" s="248"/>
      <c r="E1308" s="98" t="s">
        <v>112</v>
      </c>
      <c r="F1308" s="15">
        <v>12</v>
      </c>
      <c r="G1308" s="35">
        <v>112</v>
      </c>
      <c r="H1308" s="78"/>
    </row>
    <row r="1309" spans="1:8" x14ac:dyDescent="0.25">
      <c r="A1309" s="271"/>
      <c r="B1309" s="268"/>
      <c r="C1309" s="25" t="s">
        <v>6</v>
      </c>
      <c r="D1309" s="248">
        <v>11</v>
      </c>
      <c r="E1309" s="98" t="s">
        <v>278</v>
      </c>
      <c r="F1309" s="15">
        <v>50</v>
      </c>
      <c r="G1309" s="35" t="s">
        <v>40</v>
      </c>
      <c r="H1309" s="78" t="s">
        <v>125</v>
      </c>
    </row>
    <row r="1310" spans="1:8" x14ac:dyDescent="0.25">
      <c r="A1310" s="271"/>
      <c r="B1310" s="268"/>
      <c r="C1310" s="25" t="s">
        <v>13</v>
      </c>
      <c r="D1310" s="248">
        <v>6</v>
      </c>
      <c r="E1310" s="98" t="s">
        <v>256</v>
      </c>
      <c r="F1310" s="15"/>
      <c r="G1310" s="35"/>
      <c r="H1310" s="78"/>
    </row>
    <row r="1311" spans="1:8" ht="16.5" thickBot="1" x14ac:dyDescent="0.3">
      <c r="A1311" s="275"/>
      <c r="B1311" s="273"/>
      <c r="C1311" s="51" t="s">
        <v>6</v>
      </c>
      <c r="D1311" s="91">
        <v>2</v>
      </c>
      <c r="E1311" s="159" t="s">
        <v>229</v>
      </c>
      <c r="F1311" s="50"/>
      <c r="G1311" s="71"/>
      <c r="H1311" s="79"/>
    </row>
    <row r="1312" spans="1:8" x14ac:dyDescent="0.25">
      <c r="A1312" s="331">
        <v>46157</v>
      </c>
      <c r="B1312" s="267" t="s">
        <v>36</v>
      </c>
      <c r="C1312" s="23" t="s">
        <v>13</v>
      </c>
      <c r="D1312" s="262">
        <v>7</v>
      </c>
      <c r="E1312" s="164" t="s">
        <v>147</v>
      </c>
      <c r="F1312" s="12">
        <v>26</v>
      </c>
      <c r="G1312" s="70">
        <v>109</v>
      </c>
      <c r="H1312" s="78" t="s">
        <v>125</v>
      </c>
    </row>
    <row r="1313" spans="1:8" x14ac:dyDescent="0.25">
      <c r="A1313" s="288"/>
      <c r="B1313" s="268"/>
      <c r="C1313" s="23" t="s">
        <v>13</v>
      </c>
      <c r="D1313" s="263"/>
      <c r="E1313" s="98" t="s">
        <v>96</v>
      </c>
      <c r="F1313" s="15">
        <v>7</v>
      </c>
      <c r="G1313" s="70">
        <v>109</v>
      </c>
      <c r="H1313" s="66" t="s">
        <v>240</v>
      </c>
    </row>
    <row r="1314" spans="1:8" x14ac:dyDescent="0.25">
      <c r="A1314" s="288"/>
      <c r="B1314" s="268"/>
      <c r="C1314" s="23" t="s">
        <v>13</v>
      </c>
      <c r="D1314" s="263"/>
      <c r="E1314" s="98" t="s">
        <v>241</v>
      </c>
      <c r="F1314" s="15">
        <v>13</v>
      </c>
      <c r="G1314" s="70">
        <v>109</v>
      </c>
      <c r="H1314" s="66" t="s">
        <v>240</v>
      </c>
    </row>
    <row r="1315" spans="1:8" x14ac:dyDescent="0.25">
      <c r="A1315" s="288"/>
      <c r="B1315" s="268"/>
      <c r="C1315" s="23" t="s">
        <v>13</v>
      </c>
      <c r="D1315" s="264"/>
      <c r="E1315" s="98" t="s">
        <v>242</v>
      </c>
      <c r="F1315" s="15">
        <v>7</v>
      </c>
      <c r="G1315" s="70">
        <v>109</v>
      </c>
      <c r="H1315" s="66" t="s">
        <v>240</v>
      </c>
    </row>
    <row r="1316" spans="1:8" x14ac:dyDescent="0.25">
      <c r="A1316" s="288"/>
      <c r="B1316" s="268"/>
      <c r="C1316" s="23" t="s">
        <v>13</v>
      </c>
      <c r="D1316" s="265">
        <v>6</v>
      </c>
      <c r="E1316" s="98" t="s">
        <v>147</v>
      </c>
      <c r="F1316" s="15">
        <v>15</v>
      </c>
      <c r="G1316" s="35">
        <v>107</v>
      </c>
      <c r="H1316" s="78" t="s">
        <v>125</v>
      </c>
    </row>
    <row r="1317" spans="1:8" x14ac:dyDescent="0.25">
      <c r="A1317" s="288"/>
      <c r="B1317" s="268"/>
      <c r="C1317" s="23" t="s">
        <v>13</v>
      </c>
      <c r="D1317" s="263"/>
      <c r="E1317" s="98" t="s">
        <v>96</v>
      </c>
      <c r="F1317" s="15">
        <v>2</v>
      </c>
      <c r="G1317" s="35">
        <v>107</v>
      </c>
      <c r="H1317" s="66" t="s">
        <v>240</v>
      </c>
    </row>
    <row r="1318" spans="1:8" x14ac:dyDescent="0.25">
      <c r="A1318" s="288"/>
      <c r="B1318" s="268"/>
      <c r="C1318" s="23" t="s">
        <v>13</v>
      </c>
      <c r="D1318" s="263"/>
      <c r="E1318" s="98" t="s">
        <v>241</v>
      </c>
      <c r="F1318" s="15">
        <v>3</v>
      </c>
      <c r="G1318" s="35">
        <v>107</v>
      </c>
      <c r="H1318" s="66" t="s">
        <v>240</v>
      </c>
    </row>
    <row r="1319" spans="1:8" x14ac:dyDescent="0.25">
      <c r="A1319" s="288"/>
      <c r="B1319" s="268"/>
      <c r="C1319" s="23" t="s">
        <v>13</v>
      </c>
      <c r="D1319" s="264"/>
      <c r="E1319" s="98" t="s">
        <v>242</v>
      </c>
      <c r="F1319" s="15">
        <v>2</v>
      </c>
      <c r="G1319" s="35">
        <v>107</v>
      </c>
      <c r="H1319" s="66" t="s">
        <v>240</v>
      </c>
    </row>
    <row r="1320" spans="1:8" x14ac:dyDescent="0.25">
      <c r="A1320" s="288"/>
      <c r="B1320" s="268"/>
      <c r="C1320" s="23" t="s">
        <v>13</v>
      </c>
      <c r="D1320" s="265">
        <v>6</v>
      </c>
      <c r="E1320" s="98" t="s">
        <v>147</v>
      </c>
      <c r="F1320" s="15">
        <v>6.1</v>
      </c>
      <c r="G1320" s="35">
        <v>102</v>
      </c>
      <c r="H1320" s="78" t="s">
        <v>125</v>
      </c>
    </row>
    <row r="1321" spans="1:8" x14ac:dyDescent="0.25">
      <c r="A1321" s="288"/>
      <c r="B1321" s="268"/>
      <c r="C1321" s="23" t="s">
        <v>13</v>
      </c>
      <c r="D1321" s="263"/>
      <c r="E1321" s="98" t="s">
        <v>96</v>
      </c>
      <c r="F1321" s="15">
        <v>3</v>
      </c>
      <c r="G1321" s="35">
        <v>102</v>
      </c>
      <c r="H1321" s="66" t="s">
        <v>240</v>
      </c>
    </row>
    <row r="1322" spans="1:8" x14ac:dyDescent="0.25">
      <c r="A1322" s="288"/>
      <c r="B1322" s="268"/>
      <c r="C1322" s="23" t="s">
        <v>13</v>
      </c>
      <c r="D1322" s="263"/>
      <c r="E1322" s="98" t="s">
        <v>241</v>
      </c>
      <c r="F1322" s="15">
        <v>5</v>
      </c>
      <c r="G1322" s="35">
        <v>102</v>
      </c>
      <c r="H1322" s="66" t="s">
        <v>240</v>
      </c>
    </row>
    <row r="1323" spans="1:8" x14ac:dyDescent="0.25">
      <c r="A1323" s="288"/>
      <c r="B1323" s="268"/>
      <c r="C1323" s="23" t="s">
        <v>13</v>
      </c>
      <c r="D1323" s="263"/>
      <c r="E1323" s="98" t="s">
        <v>242</v>
      </c>
      <c r="F1323" s="15">
        <v>3</v>
      </c>
      <c r="G1323" s="35">
        <v>102</v>
      </c>
      <c r="H1323" s="66" t="s">
        <v>240</v>
      </c>
    </row>
    <row r="1324" spans="1:8" x14ac:dyDescent="0.25">
      <c r="A1324" s="288"/>
      <c r="B1324" s="268"/>
      <c r="C1324" s="23" t="s">
        <v>13</v>
      </c>
      <c r="D1324" s="264"/>
      <c r="E1324" s="98" t="s">
        <v>199</v>
      </c>
      <c r="F1324" s="15">
        <v>3.6</v>
      </c>
      <c r="G1324" s="35">
        <v>102</v>
      </c>
      <c r="H1324" s="4"/>
    </row>
    <row r="1325" spans="1:8" x14ac:dyDescent="0.25">
      <c r="A1325" s="288"/>
      <c r="B1325" s="268"/>
      <c r="C1325" s="25" t="s">
        <v>6</v>
      </c>
      <c r="D1325" s="265">
        <v>7</v>
      </c>
      <c r="E1325" s="98" t="s">
        <v>199</v>
      </c>
      <c r="F1325" s="15">
        <v>1.6</v>
      </c>
      <c r="G1325" s="35">
        <v>110</v>
      </c>
      <c r="H1325" s="78" t="s">
        <v>125</v>
      </c>
    </row>
    <row r="1326" spans="1:8" x14ac:dyDescent="0.25">
      <c r="A1326" s="288"/>
      <c r="B1326" s="268"/>
      <c r="C1326" s="25" t="s">
        <v>6</v>
      </c>
      <c r="D1326" s="263"/>
      <c r="E1326" s="98" t="s">
        <v>93</v>
      </c>
      <c r="F1326" s="15">
        <v>7</v>
      </c>
      <c r="G1326" s="35" t="s">
        <v>165</v>
      </c>
      <c r="H1326" s="78" t="s">
        <v>125</v>
      </c>
    </row>
    <row r="1327" spans="1:8" x14ac:dyDescent="0.25">
      <c r="A1327" s="288"/>
      <c r="B1327" s="268"/>
      <c r="C1327" s="25" t="s">
        <v>6</v>
      </c>
      <c r="D1327" s="263"/>
      <c r="E1327" s="98" t="s">
        <v>93</v>
      </c>
      <c r="F1327" s="15">
        <v>2</v>
      </c>
      <c r="G1327" s="35" t="s">
        <v>165</v>
      </c>
      <c r="H1327" s="4" t="s">
        <v>243</v>
      </c>
    </row>
    <row r="1328" spans="1:8" x14ac:dyDescent="0.25">
      <c r="A1328" s="288"/>
      <c r="B1328" s="268"/>
      <c r="C1328" s="25" t="s">
        <v>6</v>
      </c>
      <c r="D1328" s="264"/>
      <c r="E1328" s="98" t="s">
        <v>206</v>
      </c>
      <c r="F1328" s="15">
        <v>9</v>
      </c>
      <c r="G1328" s="35" t="s">
        <v>165</v>
      </c>
      <c r="H1328" s="4"/>
    </row>
    <row r="1329" spans="1:8" x14ac:dyDescent="0.25">
      <c r="A1329" s="289"/>
      <c r="B1329" s="269"/>
      <c r="C1329" s="25" t="s">
        <v>6</v>
      </c>
      <c r="D1329" s="248">
        <v>2</v>
      </c>
      <c r="E1329" s="98" t="s">
        <v>218</v>
      </c>
      <c r="F1329" s="15"/>
      <c r="G1329" s="35"/>
      <c r="H1329" s="4"/>
    </row>
    <row r="1330" spans="1:8" x14ac:dyDescent="0.25">
      <c r="A1330" s="287">
        <v>46157</v>
      </c>
      <c r="B1330" s="261" t="s">
        <v>5</v>
      </c>
      <c r="C1330" s="25" t="s">
        <v>6</v>
      </c>
      <c r="D1330" s="265">
        <v>5</v>
      </c>
      <c r="E1330" s="98" t="s">
        <v>35</v>
      </c>
      <c r="F1330" s="15">
        <v>40</v>
      </c>
      <c r="G1330" s="35">
        <v>116</v>
      </c>
      <c r="H1330" s="78" t="s">
        <v>125</v>
      </c>
    </row>
    <row r="1331" spans="1:8" x14ac:dyDescent="0.25">
      <c r="A1331" s="288"/>
      <c r="B1331" s="268"/>
      <c r="C1331" s="25" t="s">
        <v>6</v>
      </c>
      <c r="D1331" s="263"/>
      <c r="E1331" s="98" t="s">
        <v>110</v>
      </c>
      <c r="F1331" s="15">
        <v>30</v>
      </c>
      <c r="G1331" s="35">
        <v>116</v>
      </c>
      <c r="H1331" s="4"/>
    </row>
    <row r="1332" spans="1:8" x14ac:dyDescent="0.25">
      <c r="A1332" s="288"/>
      <c r="B1332" s="268"/>
      <c r="C1332" s="25" t="s">
        <v>6</v>
      </c>
      <c r="D1332" s="264"/>
      <c r="E1332" s="98" t="s">
        <v>310</v>
      </c>
      <c r="F1332" s="15">
        <v>10</v>
      </c>
      <c r="G1332" s="35">
        <v>116</v>
      </c>
      <c r="H1332" s="4"/>
    </row>
    <row r="1333" spans="1:8" x14ac:dyDescent="0.25">
      <c r="A1333" s="288"/>
      <c r="B1333" s="268"/>
      <c r="C1333" s="25" t="s">
        <v>6</v>
      </c>
      <c r="D1333" s="265">
        <v>3</v>
      </c>
      <c r="E1333" s="98" t="s">
        <v>202</v>
      </c>
      <c r="F1333" s="15">
        <v>24</v>
      </c>
      <c r="G1333" s="35">
        <v>112</v>
      </c>
      <c r="H1333" s="78" t="s">
        <v>125</v>
      </c>
    </row>
    <row r="1334" spans="1:8" x14ac:dyDescent="0.25">
      <c r="A1334" s="288"/>
      <c r="B1334" s="268"/>
      <c r="C1334" s="25" t="s">
        <v>6</v>
      </c>
      <c r="D1334" s="263"/>
      <c r="E1334" s="98" t="s">
        <v>271</v>
      </c>
      <c r="F1334" s="15">
        <v>12</v>
      </c>
      <c r="G1334" s="35">
        <v>112</v>
      </c>
      <c r="H1334" s="4"/>
    </row>
    <row r="1335" spans="1:8" x14ac:dyDescent="0.25">
      <c r="A1335" s="288"/>
      <c r="B1335" s="268"/>
      <c r="C1335" s="25" t="s">
        <v>6</v>
      </c>
      <c r="D1335" s="264"/>
      <c r="E1335" s="98" t="s">
        <v>272</v>
      </c>
      <c r="F1335" s="15">
        <v>24</v>
      </c>
      <c r="G1335" s="35">
        <v>112</v>
      </c>
      <c r="H1335" s="4"/>
    </row>
    <row r="1336" spans="1:8" x14ac:dyDescent="0.25">
      <c r="A1336" s="288"/>
      <c r="B1336" s="268"/>
      <c r="C1336" s="25" t="s">
        <v>6</v>
      </c>
      <c r="D1336" s="265">
        <v>3</v>
      </c>
      <c r="E1336" s="98" t="s">
        <v>272</v>
      </c>
      <c r="F1336" s="15">
        <v>20</v>
      </c>
      <c r="G1336" s="35">
        <v>112</v>
      </c>
      <c r="H1336" s="4"/>
    </row>
    <row r="1337" spans="1:8" x14ac:dyDescent="0.25">
      <c r="A1337" s="288"/>
      <c r="B1337" s="268"/>
      <c r="C1337" s="25" t="s">
        <v>6</v>
      </c>
      <c r="D1337" s="264"/>
      <c r="E1337" s="98" t="s">
        <v>260</v>
      </c>
      <c r="F1337" s="15">
        <v>20</v>
      </c>
      <c r="G1337" s="35">
        <v>112</v>
      </c>
      <c r="H1337" s="4"/>
    </row>
    <row r="1338" spans="1:8" x14ac:dyDescent="0.25">
      <c r="A1338" s="288"/>
      <c r="B1338" s="268"/>
      <c r="C1338" s="25" t="s">
        <v>6</v>
      </c>
      <c r="D1338" s="265">
        <v>6</v>
      </c>
      <c r="E1338" s="98" t="s">
        <v>199</v>
      </c>
      <c r="F1338" s="15">
        <v>7.5</v>
      </c>
      <c r="G1338" s="35">
        <v>102</v>
      </c>
      <c r="H1338" s="78" t="s">
        <v>125</v>
      </c>
    </row>
    <row r="1339" spans="1:8" x14ac:dyDescent="0.25">
      <c r="A1339" s="288"/>
      <c r="B1339" s="268"/>
      <c r="C1339" s="25" t="s">
        <v>6</v>
      </c>
      <c r="D1339" s="263"/>
      <c r="E1339" s="98" t="s">
        <v>147</v>
      </c>
      <c r="F1339" s="15">
        <v>35</v>
      </c>
      <c r="G1339" s="35">
        <v>102</v>
      </c>
      <c r="H1339" s="4"/>
    </row>
    <row r="1340" spans="1:8" x14ac:dyDescent="0.25">
      <c r="A1340" s="288"/>
      <c r="B1340" s="268"/>
      <c r="C1340" s="25" t="s">
        <v>6</v>
      </c>
      <c r="D1340" s="263"/>
      <c r="E1340" s="98" t="s">
        <v>96</v>
      </c>
      <c r="F1340" s="15">
        <v>6</v>
      </c>
      <c r="G1340" s="35">
        <v>102</v>
      </c>
      <c r="H1340" s="66" t="s">
        <v>240</v>
      </c>
    </row>
    <row r="1341" spans="1:8" x14ac:dyDescent="0.25">
      <c r="A1341" s="288"/>
      <c r="B1341" s="268"/>
      <c r="C1341" s="25" t="s">
        <v>6</v>
      </c>
      <c r="D1341" s="264"/>
      <c r="E1341" s="98" t="s">
        <v>205</v>
      </c>
      <c r="F1341" s="15">
        <v>6</v>
      </c>
      <c r="G1341" s="35">
        <v>102</v>
      </c>
      <c r="H1341" s="4"/>
    </row>
    <row r="1342" spans="1:8" ht="31.5" x14ac:dyDescent="0.25">
      <c r="A1342" s="288"/>
      <c r="B1342" s="268"/>
      <c r="C1342" s="25" t="s">
        <v>6</v>
      </c>
      <c r="D1342" s="248">
        <v>15</v>
      </c>
      <c r="E1342" s="98" t="s">
        <v>278</v>
      </c>
      <c r="F1342" s="15">
        <v>250</v>
      </c>
      <c r="G1342" s="35">
        <v>112</v>
      </c>
      <c r="H1342" s="4" t="s">
        <v>279</v>
      </c>
    </row>
    <row r="1343" spans="1:8" x14ac:dyDescent="0.25">
      <c r="A1343" s="288"/>
      <c r="B1343" s="268"/>
      <c r="C1343" s="25" t="s">
        <v>13</v>
      </c>
      <c r="D1343" s="248">
        <v>4</v>
      </c>
      <c r="E1343" s="98" t="s">
        <v>256</v>
      </c>
      <c r="F1343" s="15"/>
      <c r="G1343" s="35"/>
      <c r="H1343" s="4"/>
    </row>
    <row r="1344" spans="1:8" ht="16.5" thickBot="1" x14ac:dyDescent="0.3">
      <c r="A1344" s="288"/>
      <c r="B1344" s="268"/>
      <c r="C1344" s="24" t="s">
        <v>6</v>
      </c>
      <c r="D1344" s="245">
        <v>2</v>
      </c>
      <c r="E1344" s="123" t="s">
        <v>229</v>
      </c>
      <c r="F1344" s="82"/>
      <c r="G1344" s="67"/>
      <c r="H1344" s="81"/>
    </row>
    <row r="1345" spans="1:8" x14ac:dyDescent="0.25">
      <c r="A1345" s="270">
        <v>46158</v>
      </c>
      <c r="B1345" s="267" t="s">
        <v>36</v>
      </c>
      <c r="C1345" s="74" t="s">
        <v>6</v>
      </c>
      <c r="D1345" s="262">
        <v>10</v>
      </c>
      <c r="E1345" s="165" t="s">
        <v>147</v>
      </c>
      <c r="F1345" s="75">
        <v>28</v>
      </c>
      <c r="G1345" s="76">
        <v>110</v>
      </c>
      <c r="H1345" s="77" t="s">
        <v>125</v>
      </c>
    </row>
    <row r="1346" spans="1:8" x14ac:dyDescent="0.25">
      <c r="A1346" s="271"/>
      <c r="B1346" s="268"/>
      <c r="C1346" s="25" t="s">
        <v>6</v>
      </c>
      <c r="D1346" s="263"/>
      <c r="E1346" s="98" t="s">
        <v>199</v>
      </c>
      <c r="F1346" s="15">
        <v>2</v>
      </c>
      <c r="G1346" s="35">
        <v>110</v>
      </c>
      <c r="H1346" s="78"/>
    </row>
    <row r="1347" spans="1:8" x14ac:dyDescent="0.25">
      <c r="A1347" s="271"/>
      <c r="B1347" s="268"/>
      <c r="C1347" s="25" t="s">
        <v>6</v>
      </c>
      <c r="D1347" s="263"/>
      <c r="E1347" s="98" t="s">
        <v>241</v>
      </c>
      <c r="F1347" s="15">
        <v>10</v>
      </c>
      <c r="G1347" s="35">
        <v>110</v>
      </c>
      <c r="H1347" s="66" t="s">
        <v>240</v>
      </c>
    </row>
    <row r="1348" spans="1:8" x14ac:dyDescent="0.25">
      <c r="A1348" s="271"/>
      <c r="B1348" s="268"/>
      <c r="C1348" s="25" t="s">
        <v>6</v>
      </c>
      <c r="D1348" s="263"/>
      <c r="E1348" s="98" t="s">
        <v>242</v>
      </c>
      <c r="F1348" s="15">
        <v>6</v>
      </c>
      <c r="G1348" s="35">
        <v>110</v>
      </c>
      <c r="H1348" s="66" t="s">
        <v>240</v>
      </c>
    </row>
    <row r="1349" spans="1:8" x14ac:dyDescent="0.25">
      <c r="A1349" s="271"/>
      <c r="B1349" s="268"/>
      <c r="C1349" s="25" t="s">
        <v>6</v>
      </c>
      <c r="D1349" s="264"/>
      <c r="E1349" s="98" t="s">
        <v>96</v>
      </c>
      <c r="F1349" s="15">
        <v>6</v>
      </c>
      <c r="G1349" s="35">
        <v>110</v>
      </c>
      <c r="H1349" s="66" t="s">
        <v>240</v>
      </c>
    </row>
    <row r="1350" spans="1:8" x14ac:dyDescent="0.25">
      <c r="A1350" s="271"/>
      <c r="B1350" s="268"/>
      <c r="C1350" s="25" t="s">
        <v>6</v>
      </c>
      <c r="D1350" s="265">
        <v>8</v>
      </c>
      <c r="E1350" s="98" t="s">
        <v>308</v>
      </c>
      <c r="F1350" s="15">
        <v>30</v>
      </c>
      <c r="G1350" s="35">
        <v>116</v>
      </c>
      <c r="H1350" s="78" t="s">
        <v>125</v>
      </c>
    </row>
    <row r="1351" spans="1:8" x14ac:dyDescent="0.25">
      <c r="A1351" s="271"/>
      <c r="B1351" s="268"/>
      <c r="C1351" s="25" t="s">
        <v>6</v>
      </c>
      <c r="D1351" s="264"/>
      <c r="E1351" s="98" t="s">
        <v>199</v>
      </c>
      <c r="F1351" s="15">
        <v>10</v>
      </c>
      <c r="G1351" s="35">
        <v>116</v>
      </c>
      <c r="H1351" s="78"/>
    </row>
    <row r="1352" spans="1:8" x14ac:dyDescent="0.25">
      <c r="A1352" s="271"/>
      <c r="B1352" s="268"/>
      <c r="C1352" s="25" t="s">
        <v>13</v>
      </c>
      <c r="D1352" s="265">
        <v>9</v>
      </c>
      <c r="E1352" s="98" t="s">
        <v>147</v>
      </c>
      <c r="F1352" s="15">
        <v>30</v>
      </c>
      <c r="G1352" s="35">
        <v>110</v>
      </c>
      <c r="H1352" s="78" t="s">
        <v>125</v>
      </c>
    </row>
    <row r="1353" spans="1:8" x14ac:dyDescent="0.25">
      <c r="A1353" s="271"/>
      <c r="B1353" s="268"/>
      <c r="C1353" s="25" t="s">
        <v>13</v>
      </c>
      <c r="D1353" s="263"/>
      <c r="E1353" s="98" t="s">
        <v>241</v>
      </c>
      <c r="F1353" s="15">
        <v>17</v>
      </c>
      <c r="G1353" s="35">
        <v>110</v>
      </c>
      <c r="H1353" s="66" t="s">
        <v>240</v>
      </c>
    </row>
    <row r="1354" spans="1:8" x14ac:dyDescent="0.25">
      <c r="A1354" s="271"/>
      <c r="B1354" s="268"/>
      <c r="C1354" s="25" t="s">
        <v>13</v>
      </c>
      <c r="D1354" s="263"/>
      <c r="E1354" s="98" t="s">
        <v>242</v>
      </c>
      <c r="F1354" s="15">
        <v>10</v>
      </c>
      <c r="G1354" s="35">
        <v>110</v>
      </c>
      <c r="H1354" s="66" t="s">
        <v>240</v>
      </c>
    </row>
    <row r="1355" spans="1:8" x14ac:dyDescent="0.25">
      <c r="A1355" s="271"/>
      <c r="B1355" s="268"/>
      <c r="C1355" s="25" t="s">
        <v>13</v>
      </c>
      <c r="D1355" s="264"/>
      <c r="E1355" s="98" t="s">
        <v>96</v>
      </c>
      <c r="F1355" s="15">
        <v>10</v>
      </c>
      <c r="G1355" s="35">
        <v>110</v>
      </c>
      <c r="H1355" s="66" t="s">
        <v>240</v>
      </c>
    </row>
    <row r="1356" spans="1:8" x14ac:dyDescent="0.25">
      <c r="A1356" s="272"/>
      <c r="B1356" s="269"/>
      <c r="C1356" s="25" t="s">
        <v>13</v>
      </c>
      <c r="D1356" s="248">
        <v>2</v>
      </c>
      <c r="E1356" s="98" t="s">
        <v>218</v>
      </c>
      <c r="F1356" s="15"/>
      <c r="G1356" s="35">
        <v>110</v>
      </c>
      <c r="H1356" s="78"/>
    </row>
    <row r="1357" spans="1:8" x14ac:dyDescent="0.25">
      <c r="A1357" s="258">
        <v>46158</v>
      </c>
      <c r="B1357" s="261" t="s">
        <v>5</v>
      </c>
      <c r="C1357" s="25" t="s">
        <v>6</v>
      </c>
      <c r="D1357" s="265">
        <v>4</v>
      </c>
      <c r="E1357" s="98" t="s">
        <v>459</v>
      </c>
      <c r="F1357" s="15">
        <v>2</v>
      </c>
      <c r="G1357" s="35" t="s">
        <v>38</v>
      </c>
      <c r="H1357" s="78" t="s">
        <v>340</v>
      </c>
    </row>
    <row r="1358" spans="1:8" x14ac:dyDescent="0.25">
      <c r="A1358" s="271"/>
      <c r="B1358" s="268"/>
      <c r="C1358" s="25" t="s">
        <v>6</v>
      </c>
      <c r="D1358" s="264"/>
      <c r="E1358" s="98" t="s">
        <v>338</v>
      </c>
      <c r="F1358" s="15">
        <v>2</v>
      </c>
      <c r="G1358" s="35" t="s">
        <v>38</v>
      </c>
      <c r="H1358" s="78" t="s">
        <v>339</v>
      </c>
    </row>
    <row r="1359" spans="1:8" x14ac:dyDescent="0.25">
      <c r="A1359" s="271"/>
      <c r="B1359" s="268"/>
      <c r="C1359" s="25" t="s">
        <v>6</v>
      </c>
      <c r="D1359" s="265">
        <v>4</v>
      </c>
      <c r="E1359" s="98" t="s">
        <v>147</v>
      </c>
      <c r="F1359" s="15">
        <v>7</v>
      </c>
      <c r="G1359" s="35">
        <v>110</v>
      </c>
      <c r="H1359" s="78" t="s">
        <v>125</v>
      </c>
    </row>
    <row r="1360" spans="1:8" x14ac:dyDescent="0.25">
      <c r="A1360" s="271"/>
      <c r="B1360" s="268"/>
      <c r="C1360" s="25" t="s">
        <v>6</v>
      </c>
      <c r="D1360" s="263"/>
      <c r="E1360" s="98" t="s">
        <v>205</v>
      </c>
      <c r="F1360" s="15">
        <v>6</v>
      </c>
      <c r="G1360" s="35">
        <v>110</v>
      </c>
      <c r="H1360" s="78"/>
    </row>
    <row r="1361" spans="1:8" x14ac:dyDescent="0.25">
      <c r="A1361" s="271"/>
      <c r="B1361" s="268"/>
      <c r="C1361" s="25" t="s">
        <v>6</v>
      </c>
      <c r="D1361" s="264"/>
      <c r="E1361" s="98" t="s">
        <v>199</v>
      </c>
      <c r="F1361" s="15">
        <v>3.9</v>
      </c>
      <c r="G1361" s="35">
        <v>110</v>
      </c>
      <c r="H1361" s="78"/>
    </row>
    <row r="1362" spans="1:8" x14ac:dyDescent="0.25">
      <c r="A1362" s="271"/>
      <c r="B1362" s="268"/>
      <c r="C1362" s="25" t="s">
        <v>6</v>
      </c>
      <c r="D1362" s="265">
        <v>6</v>
      </c>
      <c r="E1362" s="98" t="s">
        <v>217</v>
      </c>
      <c r="F1362" s="15">
        <v>140</v>
      </c>
      <c r="G1362" s="35">
        <v>102</v>
      </c>
      <c r="H1362" s="78" t="s">
        <v>125</v>
      </c>
    </row>
    <row r="1363" spans="1:8" x14ac:dyDescent="0.25">
      <c r="A1363" s="271"/>
      <c r="B1363" s="268"/>
      <c r="C1363" s="25" t="s">
        <v>6</v>
      </c>
      <c r="D1363" s="263"/>
      <c r="E1363" s="98" t="s">
        <v>216</v>
      </c>
      <c r="F1363" s="15">
        <v>12</v>
      </c>
      <c r="G1363" s="35">
        <v>102</v>
      </c>
      <c r="H1363" s="78"/>
    </row>
    <row r="1364" spans="1:8" x14ac:dyDescent="0.25">
      <c r="A1364" s="271"/>
      <c r="B1364" s="268"/>
      <c r="C1364" s="25" t="s">
        <v>6</v>
      </c>
      <c r="D1364" s="264"/>
      <c r="E1364" s="98" t="s">
        <v>94</v>
      </c>
      <c r="F1364" s="15">
        <v>12</v>
      </c>
      <c r="G1364" s="35">
        <v>102</v>
      </c>
      <c r="H1364" s="78"/>
    </row>
    <row r="1365" spans="1:8" x14ac:dyDescent="0.25">
      <c r="A1365" s="271"/>
      <c r="B1365" s="268"/>
      <c r="C1365" s="25" t="s">
        <v>6</v>
      </c>
      <c r="D1365" s="265">
        <v>4</v>
      </c>
      <c r="E1365" s="98" t="s">
        <v>216</v>
      </c>
      <c r="F1365" s="15">
        <v>6</v>
      </c>
      <c r="G1365" s="35">
        <v>110</v>
      </c>
      <c r="H1365" s="78" t="s">
        <v>125</v>
      </c>
    </row>
    <row r="1366" spans="1:8" x14ac:dyDescent="0.25">
      <c r="A1366" s="271"/>
      <c r="B1366" s="268"/>
      <c r="C1366" s="25" t="s">
        <v>6</v>
      </c>
      <c r="D1366" s="263"/>
      <c r="E1366" s="98" t="s">
        <v>94</v>
      </c>
      <c r="F1366" s="15">
        <v>6</v>
      </c>
      <c r="G1366" s="35">
        <v>110</v>
      </c>
      <c r="H1366" s="78"/>
    </row>
    <row r="1367" spans="1:8" x14ac:dyDescent="0.25">
      <c r="A1367" s="271"/>
      <c r="B1367" s="268"/>
      <c r="C1367" s="25" t="s">
        <v>6</v>
      </c>
      <c r="D1367" s="264"/>
      <c r="E1367" s="98" t="s">
        <v>217</v>
      </c>
      <c r="F1367" s="15">
        <v>60</v>
      </c>
      <c r="G1367" s="35">
        <v>110</v>
      </c>
      <c r="H1367" s="78"/>
    </row>
    <row r="1368" spans="1:8" x14ac:dyDescent="0.25">
      <c r="A1368" s="271"/>
      <c r="B1368" s="268"/>
      <c r="C1368" s="25" t="s">
        <v>6</v>
      </c>
      <c r="D1368" s="248">
        <v>14</v>
      </c>
      <c r="E1368" s="98" t="s">
        <v>278</v>
      </c>
      <c r="F1368" s="15">
        <v>100</v>
      </c>
      <c r="G1368" s="35" t="s">
        <v>40</v>
      </c>
      <c r="H1368" s="78" t="s">
        <v>125</v>
      </c>
    </row>
    <row r="1369" spans="1:8" x14ac:dyDescent="0.25">
      <c r="A1369" s="271"/>
      <c r="B1369" s="268"/>
      <c r="C1369" s="25" t="s">
        <v>13</v>
      </c>
      <c r="D1369" s="248">
        <v>4</v>
      </c>
      <c r="E1369" s="98" t="s">
        <v>256</v>
      </c>
      <c r="F1369" s="15"/>
      <c r="G1369" s="35"/>
      <c r="H1369" s="78"/>
    </row>
    <row r="1370" spans="1:8" ht="16.5" thickBot="1" x14ac:dyDescent="0.3">
      <c r="A1370" s="271"/>
      <c r="B1370" s="268"/>
      <c r="C1370" s="24" t="s">
        <v>6</v>
      </c>
      <c r="D1370" s="245">
        <v>2</v>
      </c>
      <c r="E1370" s="123" t="s">
        <v>229</v>
      </c>
      <c r="F1370" s="84"/>
      <c r="G1370" s="67"/>
      <c r="H1370" s="88"/>
    </row>
    <row r="1371" spans="1:8" x14ac:dyDescent="0.25">
      <c r="A1371" s="256">
        <v>46159</v>
      </c>
      <c r="B1371" s="259" t="s">
        <v>36</v>
      </c>
      <c r="C1371" s="74" t="s">
        <v>6</v>
      </c>
      <c r="D1371" s="247">
        <v>4</v>
      </c>
      <c r="E1371" s="165" t="s">
        <v>308</v>
      </c>
      <c r="F1371" s="75">
        <v>30</v>
      </c>
      <c r="G1371" s="90" t="s">
        <v>165</v>
      </c>
      <c r="H1371" s="77" t="s">
        <v>125</v>
      </c>
    </row>
    <row r="1372" spans="1:8" x14ac:dyDescent="0.25">
      <c r="A1372" s="257"/>
      <c r="B1372" s="260"/>
      <c r="C1372" s="25" t="s">
        <v>6</v>
      </c>
      <c r="D1372" s="255">
        <v>4</v>
      </c>
      <c r="E1372" s="98" t="s">
        <v>85</v>
      </c>
      <c r="F1372" s="15">
        <v>1</v>
      </c>
      <c r="G1372" s="89" t="s">
        <v>165</v>
      </c>
      <c r="H1372" s="78"/>
    </row>
    <row r="1373" spans="1:8" x14ac:dyDescent="0.25">
      <c r="A1373" s="257"/>
      <c r="B1373" s="260"/>
      <c r="C1373" s="25" t="s">
        <v>6</v>
      </c>
      <c r="D1373" s="255"/>
      <c r="E1373" s="98" t="s">
        <v>120</v>
      </c>
      <c r="F1373" s="15">
        <v>14</v>
      </c>
      <c r="G1373" s="89" t="s">
        <v>165</v>
      </c>
      <c r="H1373" s="78" t="s">
        <v>125</v>
      </c>
    </row>
    <row r="1374" spans="1:8" x14ac:dyDescent="0.25">
      <c r="A1374" s="257"/>
      <c r="B1374" s="260"/>
      <c r="C1374" s="25" t="s">
        <v>6</v>
      </c>
      <c r="D1374" s="255"/>
      <c r="E1374" s="98" t="s">
        <v>206</v>
      </c>
      <c r="F1374" s="15">
        <v>14</v>
      </c>
      <c r="G1374" s="89" t="s">
        <v>165</v>
      </c>
      <c r="H1374" s="78"/>
    </row>
    <row r="1375" spans="1:8" x14ac:dyDescent="0.25">
      <c r="A1375" s="257"/>
      <c r="B1375" s="260"/>
      <c r="C1375" s="25" t="s">
        <v>6</v>
      </c>
      <c r="D1375" s="255"/>
      <c r="E1375" s="98" t="s">
        <v>287</v>
      </c>
      <c r="F1375" s="15"/>
      <c r="G1375" s="89" t="s">
        <v>165</v>
      </c>
      <c r="H1375" s="78"/>
    </row>
    <row r="1376" spans="1:8" x14ac:dyDescent="0.25">
      <c r="A1376" s="257"/>
      <c r="B1376" s="260"/>
      <c r="C1376" s="25" t="s">
        <v>13</v>
      </c>
      <c r="D1376" s="248">
        <v>2</v>
      </c>
      <c r="E1376" s="98" t="s">
        <v>115</v>
      </c>
      <c r="F1376" s="15">
        <v>5</v>
      </c>
      <c r="G1376" s="89" t="s">
        <v>75</v>
      </c>
      <c r="H1376" s="78"/>
    </row>
    <row r="1377" spans="1:8" x14ac:dyDescent="0.25">
      <c r="A1377" s="257"/>
      <c r="B1377" s="260"/>
      <c r="C1377" s="25" t="s">
        <v>13</v>
      </c>
      <c r="D1377" s="248">
        <v>2</v>
      </c>
      <c r="E1377" s="98" t="s">
        <v>283</v>
      </c>
      <c r="F1377" s="15">
        <v>11</v>
      </c>
      <c r="G1377" s="89">
        <v>110</v>
      </c>
      <c r="H1377" s="78" t="s">
        <v>125</v>
      </c>
    </row>
    <row r="1378" spans="1:8" x14ac:dyDescent="0.25">
      <c r="A1378" s="257"/>
      <c r="B1378" s="260"/>
      <c r="C1378" s="25" t="s">
        <v>13</v>
      </c>
      <c r="D1378" s="255">
        <v>4</v>
      </c>
      <c r="E1378" s="98" t="s">
        <v>147</v>
      </c>
      <c r="F1378" s="15">
        <v>12</v>
      </c>
      <c r="G1378" s="89">
        <v>107</v>
      </c>
      <c r="H1378" s="78" t="s">
        <v>125</v>
      </c>
    </row>
    <row r="1379" spans="1:8" x14ac:dyDescent="0.25">
      <c r="A1379" s="257"/>
      <c r="B1379" s="260"/>
      <c r="C1379" s="25" t="s">
        <v>13</v>
      </c>
      <c r="D1379" s="255"/>
      <c r="E1379" s="98" t="s">
        <v>96</v>
      </c>
      <c r="F1379" s="15">
        <v>4</v>
      </c>
      <c r="G1379" s="89">
        <v>107</v>
      </c>
      <c r="H1379" s="66" t="s">
        <v>240</v>
      </c>
    </row>
    <row r="1380" spans="1:8" x14ac:dyDescent="0.25">
      <c r="A1380" s="257"/>
      <c r="B1380" s="260"/>
      <c r="C1380" s="25" t="s">
        <v>13</v>
      </c>
      <c r="D1380" s="255"/>
      <c r="E1380" s="98" t="s">
        <v>241</v>
      </c>
      <c r="F1380" s="15">
        <v>7</v>
      </c>
      <c r="G1380" s="89">
        <v>107</v>
      </c>
      <c r="H1380" s="66" t="s">
        <v>240</v>
      </c>
    </row>
    <row r="1381" spans="1:8" x14ac:dyDescent="0.25">
      <c r="A1381" s="257"/>
      <c r="B1381" s="260"/>
      <c r="C1381" s="25" t="s">
        <v>13</v>
      </c>
      <c r="D1381" s="255"/>
      <c r="E1381" s="98" t="s">
        <v>242</v>
      </c>
      <c r="F1381" s="15">
        <v>7</v>
      </c>
      <c r="G1381" s="89">
        <v>107</v>
      </c>
      <c r="H1381" s="66" t="s">
        <v>240</v>
      </c>
    </row>
    <row r="1382" spans="1:8" x14ac:dyDescent="0.25">
      <c r="A1382" s="257"/>
      <c r="B1382" s="260"/>
      <c r="C1382" s="25" t="s">
        <v>13</v>
      </c>
      <c r="D1382" s="255">
        <v>5</v>
      </c>
      <c r="E1382" s="98" t="s">
        <v>147</v>
      </c>
      <c r="F1382" s="15">
        <v>20</v>
      </c>
      <c r="G1382" s="89">
        <v>110</v>
      </c>
      <c r="H1382" s="78" t="s">
        <v>125</v>
      </c>
    </row>
    <row r="1383" spans="1:8" x14ac:dyDescent="0.25">
      <c r="A1383" s="257"/>
      <c r="B1383" s="260"/>
      <c r="C1383" s="25" t="s">
        <v>13</v>
      </c>
      <c r="D1383" s="255"/>
      <c r="E1383" s="98" t="s">
        <v>96</v>
      </c>
      <c r="F1383" s="15">
        <v>2</v>
      </c>
      <c r="G1383" s="89">
        <v>110</v>
      </c>
      <c r="H1383" s="78"/>
    </row>
    <row r="1384" spans="1:8" x14ac:dyDescent="0.25">
      <c r="A1384" s="257"/>
      <c r="B1384" s="260"/>
      <c r="C1384" s="25" t="s">
        <v>13</v>
      </c>
      <c r="D1384" s="255"/>
      <c r="E1384" s="98" t="s">
        <v>241</v>
      </c>
      <c r="F1384" s="15">
        <v>3</v>
      </c>
      <c r="G1384" s="89">
        <v>110</v>
      </c>
      <c r="H1384" s="78"/>
    </row>
    <row r="1385" spans="1:8" x14ac:dyDescent="0.25">
      <c r="A1385" s="257"/>
      <c r="B1385" s="260"/>
      <c r="C1385" s="25" t="s">
        <v>13</v>
      </c>
      <c r="D1385" s="255"/>
      <c r="E1385" s="98" t="s">
        <v>242</v>
      </c>
      <c r="F1385" s="15">
        <v>2</v>
      </c>
      <c r="G1385" s="89">
        <v>110</v>
      </c>
      <c r="H1385" s="78"/>
    </row>
    <row r="1386" spans="1:8" x14ac:dyDescent="0.25">
      <c r="A1386" s="257"/>
      <c r="B1386" s="260"/>
      <c r="C1386" s="25" t="s">
        <v>13</v>
      </c>
      <c r="D1386" s="255">
        <v>5</v>
      </c>
      <c r="E1386" s="98" t="s">
        <v>147</v>
      </c>
      <c r="F1386" s="15">
        <v>22</v>
      </c>
      <c r="G1386" s="89">
        <v>103</v>
      </c>
      <c r="H1386" s="78" t="s">
        <v>125</v>
      </c>
    </row>
    <row r="1387" spans="1:8" x14ac:dyDescent="0.25">
      <c r="A1387" s="257"/>
      <c r="B1387" s="260"/>
      <c r="C1387" s="25" t="s">
        <v>13</v>
      </c>
      <c r="D1387" s="255"/>
      <c r="E1387" s="98" t="s">
        <v>147</v>
      </c>
      <c r="F1387" s="15">
        <v>22</v>
      </c>
      <c r="G1387" s="89">
        <v>108</v>
      </c>
      <c r="H1387" s="78" t="s">
        <v>125</v>
      </c>
    </row>
    <row r="1388" spans="1:8" x14ac:dyDescent="0.25">
      <c r="A1388" s="278">
        <v>46159</v>
      </c>
      <c r="B1388" s="260" t="s">
        <v>5</v>
      </c>
      <c r="C1388" s="25" t="s">
        <v>6</v>
      </c>
      <c r="D1388" s="255">
        <v>4</v>
      </c>
      <c r="E1388" s="98" t="s">
        <v>199</v>
      </c>
      <c r="F1388" s="15">
        <v>3.8</v>
      </c>
      <c r="G1388" s="89">
        <v>110</v>
      </c>
      <c r="H1388" s="78" t="s">
        <v>125</v>
      </c>
    </row>
    <row r="1389" spans="1:8" x14ac:dyDescent="0.25">
      <c r="A1389" s="278"/>
      <c r="B1389" s="260"/>
      <c r="C1389" s="25" t="s">
        <v>6</v>
      </c>
      <c r="D1389" s="255"/>
      <c r="E1389" s="98" t="s">
        <v>217</v>
      </c>
      <c r="F1389" s="15">
        <v>30</v>
      </c>
      <c r="G1389" s="89">
        <v>110</v>
      </c>
      <c r="H1389" s="78"/>
    </row>
    <row r="1390" spans="1:8" x14ac:dyDescent="0.25">
      <c r="A1390" s="278"/>
      <c r="B1390" s="260"/>
      <c r="C1390" s="25" t="s">
        <v>6</v>
      </c>
      <c r="D1390" s="255"/>
      <c r="E1390" s="98" t="s">
        <v>216</v>
      </c>
      <c r="F1390" s="15">
        <v>6</v>
      </c>
      <c r="G1390" s="89">
        <v>110</v>
      </c>
      <c r="H1390" s="78"/>
    </row>
    <row r="1391" spans="1:8" x14ac:dyDescent="0.25">
      <c r="A1391" s="278"/>
      <c r="B1391" s="260"/>
      <c r="C1391" s="25" t="s">
        <v>6</v>
      </c>
      <c r="D1391" s="255"/>
      <c r="E1391" s="98" t="s">
        <v>96</v>
      </c>
      <c r="F1391" s="15">
        <v>6</v>
      </c>
      <c r="G1391" s="89">
        <v>110</v>
      </c>
      <c r="H1391" s="66" t="s">
        <v>240</v>
      </c>
    </row>
    <row r="1392" spans="1:8" x14ac:dyDescent="0.25">
      <c r="A1392" s="278"/>
      <c r="B1392" s="260"/>
      <c r="C1392" s="25" t="s">
        <v>6</v>
      </c>
      <c r="D1392" s="255">
        <v>4</v>
      </c>
      <c r="E1392" s="98" t="s">
        <v>216</v>
      </c>
      <c r="F1392" s="15">
        <v>2</v>
      </c>
      <c r="G1392" s="89">
        <v>103</v>
      </c>
      <c r="H1392" s="78" t="s">
        <v>125</v>
      </c>
    </row>
    <row r="1393" spans="1:8" x14ac:dyDescent="0.25">
      <c r="A1393" s="278"/>
      <c r="B1393" s="260"/>
      <c r="C1393" s="25" t="s">
        <v>6</v>
      </c>
      <c r="D1393" s="255"/>
      <c r="E1393" s="98" t="s">
        <v>216</v>
      </c>
      <c r="F1393" s="15">
        <v>2</v>
      </c>
      <c r="G1393" s="89">
        <v>104</v>
      </c>
      <c r="H1393" s="78" t="s">
        <v>125</v>
      </c>
    </row>
    <row r="1394" spans="1:8" x14ac:dyDescent="0.25">
      <c r="A1394" s="278"/>
      <c r="B1394" s="260"/>
      <c r="C1394" s="25" t="s">
        <v>6</v>
      </c>
      <c r="D1394" s="255"/>
      <c r="E1394" s="98" t="s">
        <v>216</v>
      </c>
      <c r="F1394" s="15">
        <v>2</v>
      </c>
      <c r="G1394" s="89">
        <v>105</v>
      </c>
      <c r="H1394" s="78" t="s">
        <v>125</v>
      </c>
    </row>
    <row r="1395" spans="1:8" x14ac:dyDescent="0.25">
      <c r="A1395" s="278"/>
      <c r="B1395" s="260"/>
      <c r="C1395" s="25" t="s">
        <v>6</v>
      </c>
      <c r="D1395" s="255"/>
      <c r="E1395" s="98" t="s">
        <v>216</v>
      </c>
      <c r="F1395" s="15">
        <v>2</v>
      </c>
      <c r="G1395" s="89">
        <v>107</v>
      </c>
      <c r="H1395" s="78" t="s">
        <v>125</v>
      </c>
    </row>
    <row r="1396" spans="1:8" x14ac:dyDescent="0.25">
      <c r="A1396" s="278"/>
      <c r="B1396" s="260"/>
      <c r="C1396" s="25" t="s">
        <v>6</v>
      </c>
      <c r="D1396" s="255"/>
      <c r="E1396" s="98" t="s">
        <v>216</v>
      </c>
      <c r="F1396" s="15">
        <v>2</v>
      </c>
      <c r="G1396" s="89">
        <v>108</v>
      </c>
      <c r="H1396" s="78" t="s">
        <v>125</v>
      </c>
    </row>
    <row r="1397" spans="1:8" x14ac:dyDescent="0.25">
      <c r="A1397" s="278"/>
      <c r="B1397" s="260"/>
      <c r="C1397" s="25" t="s">
        <v>6</v>
      </c>
      <c r="D1397" s="248">
        <v>14</v>
      </c>
      <c r="E1397" s="98" t="s">
        <v>278</v>
      </c>
      <c r="F1397" s="15">
        <v>97</v>
      </c>
      <c r="G1397" s="89" t="s">
        <v>40</v>
      </c>
      <c r="H1397" s="78" t="s">
        <v>125</v>
      </c>
    </row>
    <row r="1398" spans="1:8" x14ac:dyDescent="0.25">
      <c r="A1398" s="278"/>
      <c r="B1398" s="260"/>
      <c r="C1398" s="25" t="s">
        <v>13</v>
      </c>
      <c r="D1398" s="248">
        <v>4</v>
      </c>
      <c r="E1398" s="98" t="s">
        <v>256</v>
      </c>
      <c r="F1398" s="15"/>
      <c r="G1398" s="89"/>
      <c r="H1398" s="78"/>
    </row>
    <row r="1399" spans="1:8" x14ac:dyDescent="0.25">
      <c r="A1399" s="278"/>
      <c r="B1399" s="260"/>
      <c r="C1399" s="25" t="s">
        <v>13</v>
      </c>
      <c r="D1399" s="255">
        <v>4</v>
      </c>
      <c r="E1399" s="98" t="s">
        <v>115</v>
      </c>
      <c r="F1399" s="15">
        <v>6</v>
      </c>
      <c r="G1399" s="89" t="s">
        <v>75</v>
      </c>
      <c r="H1399" s="78"/>
    </row>
    <row r="1400" spans="1:8" x14ac:dyDescent="0.25">
      <c r="A1400" s="278"/>
      <c r="B1400" s="260"/>
      <c r="C1400" s="25" t="s">
        <v>13</v>
      </c>
      <c r="D1400" s="255"/>
      <c r="E1400" s="98" t="s">
        <v>151</v>
      </c>
      <c r="F1400" s="15">
        <v>40</v>
      </c>
      <c r="G1400" s="89"/>
      <c r="H1400" s="78"/>
    </row>
    <row r="1401" spans="1:8" x14ac:dyDescent="0.25">
      <c r="A1401" s="278"/>
      <c r="B1401" s="260"/>
      <c r="C1401" s="25" t="s">
        <v>6</v>
      </c>
      <c r="D1401" s="255">
        <v>9</v>
      </c>
      <c r="E1401" s="98" t="s">
        <v>271</v>
      </c>
      <c r="F1401" s="15">
        <v>50</v>
      </c>
      <c r="G1401" s="89" t="s">
        <v>165</v>
      </c>
      <c r="H1401" s="78" t="s">
        <v>125</v>
      </c>
    </row>
    <row r="1402" spans="1:8" ht="16.5" thickBot="1" x14ac:dyDescent="0.3">
      <c r="A1402" s="285"/>
      <c r="B1402" s="261"/>
      <c r="C1402" s="24" t="s">
        <v>6</v>
      </c>
      <c r="D1402" s="265"/>
      <c r="E1402" s="123" t="s">
        <v>201</v>
      </c>
      <c r="F1402" s="87">
        <v>90</v>
      </c>
      <c r="G1402" s="99" t="s">
        <v>165</v>
      </c>
      <c r="H1402" s="88" t="s">
        <v>125</v>
      </c>
    </row>
    <row r="1403" spans="1:8" x14ac:dyDescent="0.25">
      <c r="A1403" s="277">
        <v>46160</v>
      </c>
      <c r="B1403" s="259" t="s">
        <v>36</v>
      </c>
      <c r="C1403" s="74" t="s">
        <v>13</v>
      </c>
      <c r="D1403" s="266">
        <v>10</v>
      </c>
      <c r="E1403" s="165" t="s">
        <v>147</v>
      </c>
      <c r="F1403" s="75">
        <v>15.4</v>
      </c>
      <c r="G1403" s="90">
        <v>102</v>
      </c>
      <c r="H1403" s="77" t="s">
        <v>125</v>
      </c>
    </row>
    <row r="1404" spans="1:8" x14ac:dyDescent="0.25">
      <c r="A1404" s="278"/>
      <c r="B1404" s="260"/>
      <c r="C1404" s="25" t="s">
        <v>13</v>
      </c>
      <c r="D1404" s="255"/>
      <c r="E1404" s="98" t="s">
        <v>96</v>
      </c>
      <c r="F1404" s="15">
        <v>2</v>
      </c>
      <c r="G1404" s="89">
        <v>102</v>
      </c>
      <c r="H1404" s="66" t="s">
        <v>240</v>
      </c>
    </row>
    <row r="1405" spans="1:8" x14ac:dyDescent="0.25">
      <c r="A1405" s="278"/>
      <c r="B1405" s="260"/>
      <c r="C1405" s="25" t="s">
        <v>13</v>
      </c>
      <c r="D1405" s="255"/>
      <c r="E1405" s="98" t="s">
        <v>147</v>
      </c>
      <c r="F1405" s="15">
        <v>21.4</v>
      </c>
      <c r="G1405" s="89">
        <v>107</v>
      </c>
      <c r="H1405" s="78" t="s">
        <v>125</v>
      </c>
    </row>
    <row r="1406" spans="1:8" x14ac:dyDescent="0.25">
      <c r="A1406" s="278"/>
      <c r="B1406" s="260"/>
      <c r="C1406" s="25" t="s">
        <v>13</v>
      </c>
      <c r="D1406" s="255"/>
      <c r="E1406" s="98" t="s">
        <v>96</v>
      </c>
      <c r="F1406" s="15">
        <v>6</v>
      </c>
      <c r="G1406" s="89">
        <v>107</v>
      </c>
      <c r="H1406" s="66" t="s">
        <v>240</v>
      </c>
    </row>
    <row r="1407" spans="1:8" x14ac:dyDescent="0.25">
      <c r="A1407" s="278"/>
      <c r="B1407" s="260"/>
      <c r="C1407" s="25" t="s">
        <v>13</v>
      </c>
      <c r="D1407" s="255">
        <v>8</v>
      </c>
      <c r="E1407" s="98" t="s">
        <v>456</v>
      </c>
      <c r="F1407" s="15">
        <v>32</v>
      </c>
      <c r="G1407" s="89">
        <v>117</v>
      </c>
      <c r="H1407" s="78"/>
    </row>
    <row r="1408" spans="1:8" x14ac:dyDescent="0.25">
      <c r="A1408" s="278"/>
      <c r="B1408" s="260"/>
      <c r="C1408" s="25" t="s">
        <v>13</v>
      </c>
      <c r="D1408" s="255"/>
      <c r="E1408" s="98" t="s">
        <v>91</v>
      </c>
      <c r="F1408" s="15">
        <v>27</v>
      </c>
      <c r="G1408" s="89">
        <v>117</v>
      </c>
      <c r="H1408" s="66" t="s">
        <v>240</v>
      </c>
    </row>
    <row r="1409" spans="1:8" x14ac:dyDescent="0.25">
      <c r="A1409" s="278"/>
      <c r="B1409" s="260"/>
      <c r="C1409" s="25" t="s">
        <v>13</v>
      </c>
      <c r="D1409" s="255"/>
      <c r="E1409" s="98" t="s">
        <v>91</v>
      </c>
      <c r="F1409" s="15">
        <v>5.5</v>
      </c>
      <c r="G1409" s="89" t="s">
        <v>75</v>
      </c>
      <c r="H1409" s="66" t="s">
        <v>240</v>
      </c>
    </row>
    <row r="1410" spans="1:8" x14ac:dyDescent="0.25">
      <c r="A1410" s="278"/>
      <c r="B1410" s="260"/>
      <c r="C1410" s="25" t="s">
        <v>13</v>
      </c>
      <c r="D1410" s="255"/>
      <c r="E1410" s="98" t="s">
        <v>151</v>
      </c>
      <c r="F1410" s="15">
        <v>5.5</v>
      </c>
      <c r="G1410" s="89" t="s">
        <v>75</v>
      </c>
      <c r="H1410" s="66" t="s">
        <v>240</v>
      </c>
    </row>
    <row r="1411" spans="1:8" x14ac:dyDescent="0.25">
      <c r="A1411" s="278"/>
      <c r="B1411" s="260"/>
      <c r="C1411" s="25" t="s">
        <v>13</v>
      </c>
      <c r="D1411" s="255"/>
      <c r="E1411" s="98" t="s">
        <v>115</v>
      </c>
      <c r="F1411" s="15">
        <v>1</v>
      </c>
      <c r="G1411" s="89" t="s">
        <v>75</v>
      </c>
      <c r="H1411" s="78"/>
    </row>
    <row r="1412" spans="1:8" x14ac:dyDescent="0.25">
      <c r="A1412" s="278"/>
      <c r="B1412" s="260"/>
      <c r="C1412" s="25" t="s">
        <v>13</v>
      </c>
      <c r="D1412" s="255"/>
      <c r="E1412" s="98" t="s">
        <v>132</v>
      </c>
      <c r="F1412" s="15"/>
      <c r="G1412" s="89" t="s">
        <v>75</v>
      </c>
      <c r="H1412" s="78" t="s">
        <v>289</v>
      </c>
    </row>
    <row r="1413" spans="1:8" x14ac:dyDescent="0.25">
      <c r="A1413" s="278"/>
      <c r="B1413" s="260"/>
      <c r="C1413" s="25" t="s">
        <v>6</v>
      </c>
      <c r="D1413" s="255">
        <v>4</v>
      </c>
      <c r="E1413" s="98" t="s">
        <v>85</v>
      </c>
      <c r="F1413" s="15">
        <v>2</v>
      </c>
      <c r="G1413" s="89" t="s">
        <v>165</v>
      </c>
      <c r="H1413" s="78" t="s">
        <v>125</v>
      </c>
    </row>
    <row r="1414" spans="1:8" x14ac:dyDescent="0.25">
      <c r="A1414" s="278"/>
      <c r="B1414" s="260"/>
      <c r="C1414" s="25" t="s">
        <v>6</v>
      </c>
      <c r="D1414" s="255"/>
      <c r="E1414" s="98" t="s">
        <v>206</v>
      </c>
      <c r="F1414" s="15">
        <v>23</v>
      </c>
      <c r="G1414" s="89" t="s">
        <v>165</v>
      </c>
      <c r="H1414" s="78"/>
    </row>
    <row r="1415" spans="1:8" x14ac:dyDescent="0.25">
      <c r="A1415" s="278"/>
      <c r="B1415" s="260"/>
      <c r="C1415" s="25" t="s">
        <v>6</v>
      </c>
      <c r="D1415" s="248">
        <v>2</v>
      </c>
      <c r="E1415" s="98" t="s">
        <v>218</v>
      </c>
      <c r="F1415" s="15"/>
      <c r="G1415" s="89" t="s">
        <v>165</v>
      </c>
      <c r="H1415" s="78"/>
    </row>
    <row r="1416" spans="1:8" x14ac:dyDescent="0.25">
      <c r="A1416" s="278"/>
      <c r="B1416" s="260"/>
      <c r="C1416" s="25" t="s">
        <v>13</v>
      </c>
      <c r="D1416" s="255">
        <v>3</v>
      </c>
      <c r="E1416" s="98" t="s">
        <v>71</v>
      </c>
      <c r="F1416" s="15">
        <v>15</v>
      </c>
      <c r="G1416" s="89" t="s">
        <v>165</v>
      </c>
      <c r="H1416" s="78"/>
    </row>
    <row r="1417" spans="1:8" x14ac:dyDescent="0.25">
      <c r="A1417" s="278"/>
      <c r="B1417" s="260"/>
      <c r="C1417" s="25" t="s">
        <v>13</v>
      </c>
      <c r="D1417" s="255"/>
      <c r="E1417" s="98" t="s">
        <v>82</v>
      </c>
      <c r="F1417" s="15">
        <v>20</v>
      </c>
      <c r="G1417" s="89" t="s">
        <v>165</v>
      </c>
      <c r="H1417" s="78"/>
    </row>
    <row r="1418" spans="1:8" x14ac:dyDescent="0.25">
      <c r="A1418" s="278">
        <v>46160</v>
      </c>
      <c r="B1418" s="260" t="s">
        <v>5</v>
      </c>
      <c r="C1418" s="25" t="s">
        <v>6</v>
      </c>
      <c r="D1418" s="255">
        <v>4</v>
      </c>
      <c r="E1418" s="98" t="s">
        <v>94</v>
      </c>
      <c r="F1418" s="15">
        <v>6</v>
      </c>
      <c r="G1418" s="89">
        <v>116</v>
      </c>
      <c r="H1418" s="78" t="s">
        <v>125</v>
      </c>
    </row>
    <row r="1419" spans="1:8" x14ac:dyDescent="0.25">
      <c r="A1419" s="278"/>
      <c r="B1419" s="260"/>
      <c r="C1419" s="25" t="s">
        <v>6</v>
      </c>
      <c r="D1419" s="255"/>
      <c r="E1419" s="98" t="s">
        <v>213</v>
      </c>
      <c r="F1419" s="15">
        <v>20</v>
      </c>
      <c r="G1419" s="89">
        <v>116</v>
      </c>
      <c r="H1419" s="78"/>
    </row>
    <row r="1420" spans="1:8" x14ac:dyDescent="0.25">
      <c r="A1420" s="278"/>
      <c r="B1420" s="260"/>
      <c r="C1420" s="25" t="s">
        <v>6</v>
      </c>
      <c r="D1420" s="255">
        <v>4</v>
      </c>
      <c r="E1420" s="98" t="s">
        <v>290</v>
      </c>
      <c r="F1420" s="15">
        <v>2</v>
      </c>
      <c r="G1420" s="89">
        <v>112</v>
      </c>
      <c r="H1420" s="78" t="s">
        <v>290</v>
      </c>
    </row>
    <row r="1421" spans="1:8" x14ac:dyDescent="0.25">
      <c r="A1421" s="278"/>
      <c r="B1421" s="260"/>
      <c r="C1421" s="25" t="s">
        <v>6</v>
      </c>
      <c r="D1421" s="255"/>
      <c r="E1421" s="98" t="s">
        <v>290</v>
      </c>
      <c r="F1421" s="15">
        <v>2</v>
      </c>
      <c r="G1421" s="89">
        <v>117</v>
      </c>
      <c r="H1421" s="78" t="s">
        <v>290</v>
      </c>
    </row>
    <row r="1422" spans="1:8" x14ac:dyDescent="0.25">
      <c r="A1422" s="278"/>
      <c r="B1422" s="260"/>
      <c r="C1422" s="25" t="s">
        <v>13</v>
      </c>
      <c r="D1422" s="248">
        <v>4</v>
      </c>
      <c r="E1422" s="98" t="s">
        <v>256</v>
      </c>
      <c r="F1422" s="15"/>
      <c r="G1422" s="89"/>
      <c r="H1422" s="78"/>
    </row>
    <row r="1423" spans="1:8" x14ac:dyDescent="0.25">
      <c r="A1423" s="278"/>
      <c r="B1423" s="260"/>
      <c r="C1423" s="25" t="s">
        <v>13</v>
      </c>
      <c r="D1423" s="255">
        <v>6</v>
      </c>
      <c r="E1423" s="98" t="s">
        <v>115</v>
      </c>
      <c r="F1423" s="15">
        <v>5</v>
      </c>
      <c r="G1423" s="89" t="s">
        <v>75</v>
      </c>
      <c r="H1423" s="78"/>
    </row>
    <row r="1424" spans="1:8" x14ac:dyDescent="0.25">
      <c r="A1424" s="278"/>
      <c r="B1424" s="260"/>
      <c r="C1424" s="25" t="s">
        <v>13</v>
      </c>
      <c r="D1424" s="255"/>
      <c r="E1424" s="98" t="s">
        <v>151</v>
      </c>
      <c r="F1424" s="15">
        <v>86</v>
      </c>
      <c r="G1424" s="89" t="s">
        <v>75</v>
      </c>
      <c r="H1424" s="78"/>
    </row>
    <row r="1425" spans="1:8" x14ac:dyDescent="0.25">
      <c r="A1425" s="278"/>
      <c r="B1425" s="260"/>
      <c r="C1425" s="25" t="s">
        <v>6</v>
      </c>
      <c r="D1425" s="255">
        <v>6</v>
      </c>
      <c r="E1425" s="98" t="s">
        <v>450</v>
      </c>
      <c r="F1425" s="15">
        <v>75</v>
      </c>
      <c r="G1425" s="89" t="s">
        <v>40</v>
      </c>
      <c r="H1425" s="78" t="s">
        <v>125</v>
      </c>
    </row>
    <row r="1426" spans="1:8" x14ac:dyDescent="0.25">
      <c r="A1426" s="278"/>
      <c r="B1426" s="260"/>
      <c r="C1426" s="25" t="s">
        <v>6</v>
      </c>
      <c r="D1426" s="255"/>
      <c r="E1426" s="98" t="s">
        <v>325</v>
      </c>
      <c r="F1426" s="15">
        <v>75</v>
      </c>
      <c r="G1426" s="89" t="s">
        <v>40</v>
      </c>
      <c r="H1426" s="78"/>
    </row>
    <row r="1427" spans="1:8" x14ac:dyDescent="0.25">
      <c r="A1427" s="278"/>
      <c r="B1427" s="260"/>
      <c r="C1427" s="25" t="s">
        <v>6</v>
      </c>
      <c r="D1427" s="255">
        <v>13</v>
      </c>
      <c r="E1427" s="98" t="s">
        <v>201</v>
      </c>
      <c r="F1427" s="15">
        <v>130</v>
      </c>
      <c r="G1427" s="89" t="s">
        <v>165</v>
      </c>
      <c r="H1427" s="78" t="s">
        <v>125</v>
      </c>
    </row>
    <row r="1428" spans="1:8" x14ac:dyDescent="0.25">
      <c r="A1428" s="278"/>
      <c r="B1428" s="260"/>
      <c r="C1428" s="25" t="s">
        <v>6</v>
      </c>
      <c r="D1428" s="255"/>
      <c r="E1428" s="98" t="s">
        <v>202</v>
      </c>
      <c r="F1428" s="15">
        <v>205</v>
      </c>
      <c r="G1428" s="89" t="s">
        <v>165</v>
      </c>
      <c r="H1428" s="78"/>
    </row>
    <row r="1429" spans="1:8" x14ac:dyDescent="0.25">
      <c r="A1429" s="278"/>
      <c r="B1429" s="260"/>
      <c r="C1429" s="25" t="s">
        <v>6</v>
      </c>
      <c r="D1429" s="255"/>
      <c r="E1429" s="98" t="s">
        <v>272</v>
      </c>
      <c r="F1429" s="15">
        <v>130</v>
      </c>
      <c r="G1429" s="89" t="s">
        <v>165</v>
      </c>
      <c r="H1429" s="78"/>
    </row>
    <row r="1430" spans="1:8" ht="16.5" thickBot="1" x14ac:dyDescent="0.3">
      <c r="A1430" s="285"/>
      <c r="B1430" s="261"/>
      <c r="C1430" s="24" t="s">
        <v>6</v>
      </c>
      <c r="D1430" s="245">
        <v>2</v>
      </c>
      <c r="E1430" s="123" t="s">
        <v>229</v>
      </c>
      <c r="F1430" s="95"/>
      <c r="G1430" s="99"/>
      <c r="H1430" s="88"/>
    </row>
    <row r="1431" spans="1:8" x14ac:dyDescent="0.25">
      <c r="A1431" s="256">
        <v>46161</v>
      </c>
      <c r="B1431" s="267" t="s">
        <v>36</v>
      </c>
      <c r="C1431" s="74" t="s">
        <v>13</v>
      </c>
      <c r="D1431" s="262">
        <v>6</v>
      </c>
      <c r="E1431" s="165" t="s">
        <v>147</v>
      </c>
      <c r="F1431" s="75">
        <v>13</v>
      </c>
      <c r="G1431" s="76">
        <v>102</v>
      </c>
      <c r="H1431" s="77" t="s">
        <v>125</v>
      </c>
    </row>
    <row r="1432" spans="1:8" x14ac:dyDescent="0.25">
      <c r="A1432" s="257"/>
      <c r="B1432" s="268"/>
      <c r="C1432" s="23" t="s">
        <v>13</v>
      </c>
      <c r="D1432" s="264"/>
      <c r="E1432" s="98" t="s">
        <v>96</v>
      </c>
      <c r="F1432" s="15">
        <v>4</v>
      </c>
      <c r="G1432" s="35">
        <v>102</v>
      </c>
      <c r="H1432" s="66" t="s">
        <v>240</v>
      </c>
    </row>
    <row r="1433" spans="1:8" x14ac:dyDescent="0.25">
      <c r="A1433" s="257"/>
      <c r="B1433" s="268"/>
      <c r="C1433" s="23" t="s">
        <v>13</v>
      </c>
      <c r="D1433" s="265">
        <v>6</v>
      </c>
      <c r="E1433" s="98" t="s">
        <v>147</v>
      </c>
      <c r="F1433" s="15">
        <v>7.3</v>
      </c>
      <c r="G1433" s="35">
        <v>104</v>
      </c>
      <c r="H1433" s="78" t="s">
        <v>125</v>
      </c>
    </row>
    <row r="1434" spans="1:8" x14ac:dyDescent="0.25">
      <c r="A1434" s="257"/>
      <c r="B1434" s="268"/>
      <c r="C1434" s="23" t="s">
        <v>13</v>
      </c>
      <c r="D1434" s="263"/>
      <c r="E1434" s="98" t="s">
        <v>96</v>
      </c>
      <c r="F1434" s="15">
        <v>1</v>
      </c>
      <c r="G1434" s="35">
        <v>104</v>
      </c>
      <c r="H1434" s="66" t="s">
        <v>240</v>
      </c>
    </row>
    <row r="1435" spans="1:8" x14ac:dyDescent="0.25">
      <c r="A1435" s="257"/>
      <c r="B1435" s="268"/>
      <c r="C1435" s="23" t="s">
        <v>13</v>
      </c>
      <c r="D1435" s="263"/>
      <c r="E1435" s="98" t="s">
        <v>205</v>
      </c>
      <c r="F1435" s="15">
        <v>4</v>
      </c>
      <c r="G1435" s="35">
        <v>103</v>
      </c>
      <c r="H1435" s="66" t="s">
        <v>240</v>
      </c>
    </row>
    <row r="1436" spans="1:8" x14ac:dyDescent="0.25">
      <c r="A1436" s="257"/>
      <c r="B1436" s="268"/>
      <c r="C1436" s="23" t="s">
        <v>13</v>
      </c>
      <c r="D1436" s="264"/>
      <c r="E1436" s="98" t="s">
        <v>283</v>
      </c>
      <c r="F1436" s="15">
        <v>58</v>
      </c>
      <c r="G1436" s="35">
        <v>103</v>
      </c>
      <c r="H1436" s="66" t="s">
        <v>240</v>
      </c>
    </row>
    <row r="1437" spans="1:8" x14ac:dyDescent="0.25">
      <c r="A1437" s="257"/>
      <c r="B1437" s="268"/>
      <c r="C1437" s="23" t="s">
        <v>13</v>
      </c>
      <c r="D1437" s="265">
        <v>12</v>
      </c>
      <c r="E1437" s="98" t="s">
        <v>201</v>
      </c>
      <c r="F1437" s="15">
        <v>120</v>
      </c>
      <c r="G1437" s="35">
        <v>116</v>
      </c>
      <c r="H1437" s="78" t="s">
        <v>125</v>
      </c>
    </row>
    <row r="1438" spans="1:8" x14ac:dyDescent="0.25">
      <c r="A1438" s="257"/>
      <c r="B1438" s="268"/>
      <c r="C1438" s="23" t="s">
        <v>13</v>
      </c>
      <c r="D1438" s="263"/>
      <c r="E1438" s="98" t="s">
        <v>94</v>
      </c>
      <c r="F1438" s="15">
        <v>2</v>
      </c>
      <c r="G1438" s="35">
        <v>116</v>
      </c>
      <c r="H1438" s="78"/>
    </row>
    <row r="1439" spans="1:8" x14ac:dyDescent="0.25">
      <c r="A1439" s="257"/>
      <c r="B1439" s="268"/>
      <c r="C1439" s="23" t="s">
        <v>13</v>
      </c>
      <c r="D1439" s="264"/>
      <c r="E1439" s="98" t="s">
        <v>97</v>
      </c>
      <c r="F1439" s="15">
        <v>2</v>
      </c>
      <c r="G1439" s="35">
        <v>116</v>
      </c>
      <c r="H1439" s="78"/>
    </row>
    <row r="1440" spans="1:8" x14ac:dyDescent="0.25">
      <c r="A1440" s="257"/>
      <c r="B1440" s="269"/>
      <c r="C1440" s="23" t="s">
        <v>13</v>
      </c>
      <c r="D1440" s="248">
        <v>2</v>
      </c>
      <c r="E1440" s="98" t="s">
        <v>218</v>
      </c>
      <c r="F1440" s="15"/>
      <c r="G1440" s="35"/>
      <c r="H1440" s="78"/>
    </row>
    <row r="1441" spans="1:8" x14ac:dyDescent="0.25">
      <c r="A1441" s="271">
        <v>46161</v>
      </c>
      <c r="B1441" s="261" t="s">
        <v>5</v>
      </c>
      <c r="C1441" s="25" t="s">
        <v>13</v>
      </c>
      <c r="D1441" s="248">
        <v>6</v>
      </c>
      <c r="E1441" s="98" t="s">
        <v>256</v>
      </c>
      <c r="F1441" s="15"/>
      <c r="G1441" s="35"/>
      <c r="H1441" s="78"/>
    </row>
    <row r="1442" spans="1:8" x14ac:dyDescent="0.25">
      <c r="A1442" s="271"/>
      <c r="B1442" s="268"/>
      <c r="C1442" s="25" t="s">
        <v>13</v>
      </c>
      <c r="D1442" s="265">
        <v>4</v>
      </c>
      <c r="E1442" s="98" t="s">
        <v>115</v>
      </c>
      <c r="F1442" s="15">
        <v>4</v>
      </c>
      <c r="G1442" s="35" t="s">
        <v>75</v>
      </c>
      <c r="H1442" s="78"/>
    </row>
    <row r="1443" spans="1:8" x14ac:dyDescent="0.25">
      <c r="A1443" s="271"/>
      <c r="B1443" s="268"/>
      <c r="C1443" s="25" t="s">
        <v>13</v>
      </c>
      <c r="D1443" s="264"/>
      <c r="E1443" s="98" t="s">
        <v>151</v>
      </c>
      <c r="F1443" s="15">
        <v>40</v>
      </c>
      <c r="G1443" s="35" t="s">
        <v>75</v>
      </c>
      <c r="H1443" s="78"/>
    </row>
    <row r="1444" spans="1:8" x14ac:dyDescent="0.25">
      <c r="A1444" s="271"/>
      <c r="B1444" s="268"/>
      <c r="C1444" s="25" t="s">
        <v>6</v>
      </c>
      <c r="D1444" s="265">
        <v>6</v>
      </c>
      <c r="E1444" s="98" t="s">
        <v>325</v>
      </c>
      <c r="F1444" s="15">
        <v>75</v>
      </c>
      <c r="G1444" s="35">
        <v>101</v>
      </c>
      <c r="H1444" s="78" t="s">
        <v>125</v>
      </c>
    </row>
    <row r="1445" spans="1:8" x14ac:dyDescent="0.25">
      <c r="A1445" s="271"/>
      <c r="B1445" s="268"/>
      <c r="C1445" s="25" t="s">
        <v>6</v>
      </c>
      <c r="D1445" s="264"/>
      <c r="E1445" s="98" t="s">
        <v>450</v>
      </c>
      <c r="F1445" s="15">
        <v>75</v>
      </c>
      <c r="G1445" s="35">
        <v>101</v>
      </c>
      <c r="H1445" s="78"/>
    </row>
    <row r="1446" spans="1:8" x14ac:dyDescent="0.25">
      <c r="A1446" s="271"/>
      <c r="B1446" s="268"/>
      <c r="C1446" s="25" t="s">
        <v>6</v>
      </c>
      <c r="D1446" s="265">
        <v>13</v>
      </c>
      <c r="E1446" s="98" t="s">
        <v>201</v>
      </c>
      <c r="F1446" s="15">
        <v>200</v>
      </c>
      <c r="G1446" s="35" t="s">
        <v>165</v>
      </c>
      <c r="H1446" s="78" t="s">
        <v>125</v>
      </c>
    </row>
    <row r="1447" spans="1:8" x14ac:dyDescent="0.25">
      <c r="A1447" s="271"/>
      <c r="B1447" s="268"/>
      <c r="C1447" s="25" t="s">
        <v>6</v>
      </c>
      <c r="D1447" s="264"/>
      <c r="E1447" s="98" t="s">
        <v>326</v>
      </c>
      <c r="F1447" s="15">
        <v>30</v>
      </c>
      <c r="G1447" s="35"/>
      <c r="H1447" s="78"/>
    </row>
    <row r="1448" spans="1:8" x14ac:dyDescent="0.25">
      <c r="A1448" s="271"/>
      <c r="B1448" s="268"/>
      <c r="C1448" s="25" t="s">
        <v>6</v>
      </c>
      <c r="D1448" s="265">
        <v>6</v>
      </c>
      <c r="E1448" s="98" t="s">
        <v>201</v>
      </c>
      <c r="F1448" s="15">
        <v>80</v>
      </c>
      <c r="G1448" s="35">
        <v>112</v>
      </c>
      <c r="H1448" s="78" t="s">
        <v>125</v>
      </c>
    </row>
    <row r="1449" spans="1:8" x14ac:dyDescent="0.25">
      <c r="A1449" s="271"/>
      <c r="B1449" s="268"/>
      <c r="C1449" s="25" t="s">
        <v>6</v>
      </c>
      <c r="D1449" s="264"/>
      <c r="E1449" s="98" t="s">
        <v>326</v>
      </c>
      <c r="F1449" s="15">
        <v>20</v>
      </c>
      <c r="G1449" s="35"/>
      <c r="H1449" s="78"/>
    </row>
    <row r="1450" spans="1:8" x14ac:dyDescent="0.25">
      <c r="A1450" s="271"/>
      <c r="B1450" s="268"/>
      <c r="C1450" s="25" t="s">
        <v>13</v>
      </c>
      <c r="D1450" s="248">
        <v>2</v>
      </c>
      <c r="E1450" s="96" t="s">
        <v>356</v>
      </c>
      <c r="F1450" s="15"/>
      <c r="G1450" s="35"/>
      <c r="H1450" s="78"/>
    </row>
    <row r="1451" spans="1:8" ht="16.5" thickBot="1" x14ac:dyDescent="0.3">
      <c r="A1451" s="271"/>
      <c r="B1451" s="268"/>
      <c r="C1451" s="24" t="s">
        <v>6</v>
      </c>
      <c r="D1451" s="245">
        <v>2</v>
      </c>
      <c r="E1451" s="123" t="s">
        <v>229</v>
      </c>
      <c r="F1451" s="100"/>
      <c r="G1451" s="67"/>
      <c r="H1451" s="88"/>
    </row>
    <row r="1452" spans="1:8" x14ac:dyDescent="0.25">
      <c r="A1452" s="256">
        <v>46162</v>
      </c>
      <c r="B1452" s="259" t="s">
        <v>36</v>
      </c>
      <c r="C1452" s="74" t="s">
        <v>13</v>
      </c>
      <c r="D1452" s="266">
        <v>12</v>
      </c>
      <c r="E1452" s="165" t="s">
        <v>201</v>
      </c>
      <c r="F1452" s="75">
        <v>71</v>
      </c>
      <c r="G1452" s="90" t="s">
        <v>165</v>
      </c>
      <c r="H1452" s="77" t="s">
        <v>125</v>
      </c>
    </row>
    <row r="1453" spans="1:8" x14ac:dyDescent="0.25">
      <c r="A1453" s="257"/>
      <c r="B1453" s="260"/>
      <c r="C1453" s="25" t="s">
        <v>13</v>
      </c>
      <c r="D1453" s="255"/>
      <c r="E1453" s="98" t="s">
        <v>97</v>
      </c>
      <c r="F1453" s="15">
        <v>3</v>
      </c>
      <c r="G1453" s="89" t="s">
        <v>165</v>
      </c>
      <c r="H1453" s="78"/>
    </row>
    <row r="1454" spans="1:8" x14ac:dyDescent="0.25">
      <c r="A1454" s="257"/>
      <c r="B1454" s="260"/>
      <c r="C1454" s="25" t="s">
        <v>13</v>
      </c>
      <c r="D1454" s="255"/>
      <c r="E1454" s="98" t="s">
        <v>94</v>
      </c>
      <c r="F1454" s="15">
        <v>3</v>
      </c>
      <c r="G1454" s="89" t="s">
        <v>165</v>
      </c>
      <c r="H1454" s="78"/>
    </row>
    <row r="1455" spans="1:8" x14ac:dyDescent="0.25">
      <c r="A1455" s="257"/>
      <c r="B1455" s="260"/>
      <c r="C1455" s="25" t="s">
        <v>13</v>
      </c>
      <c r="D1455" s="255"/>
      <c r="E1455" s="98" t="s">
        <v>71</v>
      </c>
      <c r="F1455" s="15">
        <v>6</v>
      </c>
      <c r="G1455" s="89" t="s">
        <v>165</v>
      </c>
      <c r="H1455" s="78"/>
    </row>
    <row r="1456" spans="1:8" x14ac:dyDescent="0.25">
      <c r="A1456" s="257"/>
      <c r="B1456" s="260"/>
      <c r="C1456" s="25" t="s">
        <v>13</v>
      </c>
      <c r="D1456" s="255"/>
      <c r="E1456" s="98" t="s">
        <v>82</v>
      </c>
      <c r="F1456" s="15">
        <v>12</v>
      </c>
      <c r="G1456" s="89" t="s">
        <v>165</v>
      </c>
      <c r="H1456" s="78"/>
    </row>
    <row r="1457" spans="1:8" x14ac:dyDescent="0.25">
      <c r="A1457" s="257"/>
      <c r="B1457" s="260"/>
      <c r="C1457" s="25" t="s">
        <v>6</v>
      </c>
      <c r="D1457" s="255">
        <v>12</v>
      </c>
      <c r="E1457" s="98" t="s">
        <v>58</v>
      </c>
      <c r="F1457" s="15">
        <v>5</v>
      </c>
      <c r="G1457" s="89" t="s">
        <v>165</v>
      </c>
      <c r="H1457" s="78" t="s">
        <v>125</v>
      </c>
    </row>
    <row r="1458" spans="1:8" x14ac:dyDescent="0.25">
      <c r="A1458" s="257"/>
      <c r="B1458" s="260"/>
      <c r="C1458" s="25" t="s">
        <v>6</v>
      </c>
      <c r="D1458" s="255"/>
      <c r="E1458" s="98" t="s">
        <v>456</v>
      </c>
      <c r="F1458" s="15">
        <v>66</v>
      </c>
      <c r="G1458" s="89">
        <v>104</v>
      </c>
      <c r="H1458" s="78"/>
    </row>
    <row r="1459" spans="1:8" x14ac:dyDescent="0.25">
      <c r="A1459" s="257"/>
      <c r="B1459" s="260"/>
      <c r="C1459" s="25" t="s">
        <v>6</v>
      </c>
      <c r="D1459" s="255"/>
      <c r="E1459" s="98" t="s">
        <v>90</v>
      </c>
      <c r="F1459" s="15">
        <v>34</v>
      </c>
      <c r="G1459" s="89">
        <v>104</v>
      </c>
      <c r="H1459" s="78"/>
    </row>
    <row r="1460" spans="1:8" x14ac:dyDescent="0.25">
      <c r="A1460" s="257"/>
      <c r="B1460" s="260"/>
      <c r="C1460" s="25" t="s">
        <v>6</v>
      </c>
      <c r="D1460" s="255"/>
      <c r="E1460" s="98" t="s">
        <v>456</v>
      </c>
      <c r="F1460" s="15">
        <v>28</v>
      </c>
      <c r="G1460" s="89">
        <v>107</v>
      </c>
      <c r="H1460" s="78"/>
    </row>
    <row r="1461" spans="1:8" x14ac:dyDescent="0.25">
      <c r="A1461" s="257"/>
      <c r="B1461" s="260"/>
      <c r="C1461" s="25" t="s">
        <v>6</v>
      </c>
      <c r="D1461" s="255"/>
      <c r="E1461" s="98" t="s">
        <v>90</v>
      </c>
      <c r="F1461" s="15">
        <v>17</v>
      </c>
      <c r="G1461" s="89">
        <v>107</v>
      </c>
      <c r="H1461" s="78"/>
    </row>
    <row r="1462" spans="1:8" x14ac:dyDescent="0.25">
      <c r="A1462" s="257"/>
      <c r="B1462" s="260"/>
      <c r="C1462" s="25" t="s">
        <v>6</v>
      </c>
      <c r="D1462" s="255"/>
      <c r="E1462" s="98" t="s">
        <v>456</v>
      </c>
      <c r="F1462" s="15">
        <v>63</v>
      </c>
      <c r="G1462" s="89">
        <v>108</v>
      </c>
      <c r="H1462" s="78"/>
    </row>
    <row r="1463" spans="1:8" x14ac:dyDescent="0.25">
      <c r="A1463" s="257"/>
      <c r="B1463" s="260"/>
      <c r="C1463" s="25" t="s">
        <v>6</v>
      </c>
      <c r="D1463" s="255"/>
      <c r="E1463" s="98" t="s">
        <v>90</v>
      </c>
      <c r="F1463" s="15">
        <v>34</v>
      </c>
      <c r="G1463" s="89">
        <v>108</v>
      </c>
      <c r="H1463" s="78"/>
    </row>
    <row r="1464" spans="1:8" x14ac:dyDescent="0.25">
      <c r="A1464" s="257"/>
      <c r="B1464" s="260"/>
      <c r="C1464" s="25" t="s">
        <v>6</v>
      </c>
      <c r="D1464" s="255"/>
      <c r="E1464" s="98" t="s">
        <v>456</v>
      </c>
      <c r="F1464" s="15">
        <v>45</v>
      </c>
      <c r="G1464" s="89">
        <v>109</v>
      </c>
      <c r="H1464" s="78"/>
    </row>
    <row r="1465" spans="1:8" x14ac:dyDescent="0.25">
      <c r="A1465" s="257"/>
      <c r="B1465" s="260"/>
      <c r="C1465" s="25" t="s">
        <v>6</v>
      </c>
      <c r="D1465" s="255"/>
      <c r="E1465" s="98" t="s">
        <v>90</v>
      </c>
      <c r="F1465" s="15">
        <v>12</v>
      </c>
      <c r="G1465" s="89">
        <v>109</v>
      </c>
      <c r="H1465" s="78"/>
    </row>
    <row r="1466" spans="1:8" x14ac:dyDescent="0.25">
      <c r="A1466" s="257"/>
      <c r="B1466" s="260"/>
      <c r="C1466" s="25" t="s">
        <v>6</v>
      </c>
      <c r="D1466" s="248">
        <v>2</v>
      </c>
      <c r="E1466" s="98" t="s">
        <v>218</v>
      </c>
      <c r="F1466" s="15"/>
      <c r="G1466" s="89"/>
      <c r="H1466" s="78"/>
    </row>
    <row r="1467" spans="1:8" x14ac:dyDescent="0.25">
      <c r="A1467" s="257">
        <v>46162</v>
      </c>
      <c r="B1467" s="260" t="s">
        <v>5</v>
      </c>
      <c r="C1467" s="25" t="s">
        <v>6</v>
      </c>
      <c r="D1467" s="255">
        <v>4</v>
      </c>
      <c r="E1467" s="98" t="s">
        <v>90</v>
      </c>
      <c r="F1467" s="15">
        <v>34</v>
      </c>
      <c r="G1467" s="89">
        <v>110</v>
      </c>
      <c r="H1467" s="78" t="s">
        <v>125</v>
      </c>
    </row>
    <row r="1468" spans="1:8" x14ac:dyDescent="0.25">
      <c r="A1468" s="257"/>
      <c r="B1468" s="260"/>
      <c r="C1468" s="25" t="s">
        <v>6</v>
      </c>
      <c r="D1468" s="255"/>
      <c r="E1468" s="98" t="s">
        <v>456</v>
      </c>
      <c r="F1468" s="15">
        <v>66</v>
      </c>
      <c r="G1468" s="89">
        <v>110</v>
      </c>
      <c r="H1468" s="78"/>
    </row>
    <row r="1469" spans="1:8" x14ac:dyDescent="0.25">
      <c r="A1469" s="257"/>
      <c r="B1469" s="260"/>
      <c r="C1469" s="25" t="s">
        <v>6</v>
      </c>
      <c r="D1469" s="255">
        <v>4</v>
      </c>
      <c r="E1469" s="98" t="s">
        <v>201</v>
      </c>
      <c r="F1469" s="15">
        <v>45</v>
      </c>
      <c r="G1469" s="89" t="s">
        <v>165</v>
      </c>
      <c r="H1469" s="78" t="s">
        <v>125</v>
      </c>
    </row>
    <row r="1470" spans="1:8" x14ac:dyDescent="0.25">
      <c r="A1470" s="257"/>
      <c r="B1470" s="260"/>
      <c r="C1470" s="25" t="s">
        <v>6</v>
      </c>
      <c r="D1470" s="255"/>
      <c r="E1470" s="98" t="s">
        <v>326</v>
      </c>
      <c r="F1470" s="15">
        <v>25</v>
      </c>
      <c r="G1470" s="89" t="s">
        <v>165</v>
      </c>
      <c r="H1470" s="78"/>
    </row>
    <row r="1471" spans="1:8" x14ac:dyDescent="0.25">
      <c r="A1471" s="257"/>
      <c r="B1471" s="260"/>
      <c r="C1471" s="25" t="s">
        <v>6</v>
      </c>
      <c r="D1471" s="255">
        <v>5</v>
      </c>
      <c r="E1471" s="98" t="s">
        <v>94</v>
      </c>
      <c r="F1471" s="15">
        <v>10</v>
      </c>
      <c r="G1471" s="89" t="s">
        <v>165</v>
      </c>
      <c r="H1471" s="78" t="s">
        <v>125</v>
      </c>
    </row>
    <row r="1472" spans="1:8" x14ac:dyDescent="0.25">
      <c r="A1472" s="257"/>
      <c r="B1472" s="260"/>
      <c r="C1472" s="25" t="s">
        <v>6</v>
      </c>
      <c r="D1472" s="255"/>
      <c r="E1472" s="154" t="s">
        <v>326</v>
      </c>
      <c r="F1472" s="36">
        <v>115</v>
      </c>
      <c r="G1472" s="89" t="s">
        <v>165</v>
      </c>
      <c r="H1472" s="78"/>
    </row>
    <row r="1473" spans="1:8" x14ac:dyDescent="0.25">
      <c r="A1473" s="257"/>
      <c r="B1473" s="260"/>
      <c r="C1473" s="25" t="s">
        <v>13</v>
      </c>
      <c r="D1473" s="255">
        <v>5</v>
      </c>
      <c r="E1473" s="98" t="s">
        <v>94</v>
      </c>
      <c r="F1473" s="15">
        <v>10</v>
      </c>
      <c r="G1473" s="89" t="s">
        <v>165</v>
      </c>
      <c r="H1473" s="78" t="s">
        <v>125</v>
      </c>
    </row>
    <row r="1474" spans="1:8" x14ac:dyDescent="0.25">
      <c r="A1474" s="257"/>
      <c r="B1474" s="260"/>
      <c r="C1474" s="25" t="s">
        <v>13</v>
      </c>
      <c r="D1474" s="255"/>
      <c r="E1474" s="98" t="s">
        <v>326</v>
      </c>
      <c r="F1474" s="15">
        <v>140</v>
      </c>
      <c r="G1474" s="89" t="s">
        <v>165</v>
      </c>
      <c r="H1474" s="78"/>
    </row>
    <row r="1475" spans="1:8" x14ac:dyDescent="0.25">
      <c r="A1475" s="257"/>
      <c r="B1475" s="260"/>
      <c r="C1475" s="25" t="s">
        <v>13</v>
      </c>
      <c r="D1475" s="248">
        <v>4</v>
      </c>
      <c r="E1475" s="98" t="s">
        <v>256</v>
      </c>
      <c r="F1475" s="15"/>
      <c r="G1475" s="89"/>
      <c r="H1475" s="78"/>
    </row>
    <row r="1476" spans="1:8" x14ac:dyDescent="0.25">
      <c r="A1476" s="257"/>
      <c r="B1476" s="260"/>
      <c r="C1476" s="25" t="s">
        <v>6</v>
      </c>
      <c r="D1476" s="255">
        <v>6</v>
      </c>
      <c r="E1476" s="98" t="s">
        <v>317</v>
      </c>
      <c r="F1476" s="15">
        <v>21</v>
      </c>
      <c r="G1476" s="89" t="s">
        <v>40</v>
      </c>
      <c r="H1476" s="78" t="s">
        <v>320</v>
      </c>
    </row>
    <row r="1477" spans="1:8" x14ac:dyDescent="0.25">
      <c r="A1477" s="257"/>
      <c r="B1477" s="260"/>
      <c r="C1477" s="25" t="s">
        <v>6</v>
      </c>
      <c r="D1477" s="255"/>
      <c r="E1477" s="98" t="s">
        <v>199</v>
      </c>
      <c r="F1477" s="15">
        <v>3</v>
      </c>
      <c r="G1477" s="89" t="s">
        <v>40</v>
      </c>
      <c r="H1477" s="78" t="s">
        <v>320</v>
      </c>
    </row>
    <row r="1478" spans="1:8" x14ac:dyDescent="0.25">
      <c r="A1478" s="257"/>
      <c r="B1478" s="260"/>
      <c r="C1478" s="25" t="s">
        <v>6</v>
      </c>
      <c r="D1478" s="255"/>
      <c r="E1478" s="98" t="s">
        <v>108</v>
      </c>
      <c r="F1478" s="15">
        <v>5</v>
      </c>
      <c r="G1478" s="89" t="s">
        <v>40</v>
      </c>
      <c r="H1478" s="78" t="s">
        <v>320</v>
      </c>
    </row>
    <row r="1479" spans="1:8" x14ac:dyDescent="0.25">
      <c r="A1479" s="257"/>
      <c r="B1479" s="260"/>
      <c r="C1479" s="25" t="s">
        <v>6</v>
      </c>
      <c r="D1479" s="255"/>
      <c r="E1479" s="98" t="s">
        <v>83</v>
      </c>
      <c r="F1479" s="15">
        <v>8</v>
      </c>
      <c r="G1479" s="89" t="s">
        <v>40</v>
      </c>
      <c r="H1479" s="78" t="s">
        <v>320</v>
      </c>
    </row>
    <row r="1480" spans="1:8" x14ac:dyDescent="0.25">
      <c r="A1480" s="257"/>
      <c r="B1480" s="260"/>
      <c r="C1480" s="25" t="s">
        <v>6</v>
      </c>
      <c r="D1480" s="255">
        <v>8</v>
      </c>
      <c r="E1480" s="98" t="s">
        <v>317</v>
      </c>
      <c r="F1480" s="15">
        <v>27</v>
      </c>
      <c r="G1480" s="89" t="s">
        <v>40</v>
      </c>
      <c r="H1480" s="78" t="s">
        <v>320</v>
      </c>
    </row>
    <row r="1481" spans="1:8" x14ac:dyDescent="0.25">
      <c r="A1481" s="257"/>
      <c r="B1481" s="260"/>
      <c r="C1481" s="25" t="s">
        <v>6</v>
      </c>
      <c r="D1481" s="255"/>
      <c r="E1481" s="98" t="s">
        <v>199</v>
      </c>
      <c r="F1481" s="15">
        <v>4.5</v>
      </c>
      <c r="G1481" s="89" t="s">
        <v>40</v>
      </c>
      <c r="H1481" s="78" t="s">
        <v>320</v>
      </c>
    </row>
    <row r="1482" spans="1:8" x14ac:dyDescent="0.25">
      <c r="A1482" s="257"/>
      <c r="B1482" s="260"/>
      <c r="C1482" s="25" t="s">
        <v>6</v>
      </c>
      <c r="D1482" s="255"/>
      <c r="E1482" s="98" t="s">
        <v>108</v>
      </c>
      <c r="F1482" s="15">
        <v>3</v>
      </c>
      <c r="G1482" s="89" t="s">
        <v>40</v>
      </c>
      <c r="H1482" s="78" t="s">
        <v>320</v>
      </c>
    </row>
    <row r="1483" spans="1:8" x14ac:dyDescent="0.25">
      <c r="A1483" s="257"/>
      <c r="B1483" s="260"/>
      <c r="C1483" s="25" t="s">
        <v>6</v>
      </c>
      <c r="D1483" s="255"/>
      <c r="E1483" s="98" t="s">
        <v>83</v>
      </c>
      <c r="F1483" s="15">
        <v>9</v>
      </c>
      <c r="G1483" s="89" t="s">
        <v>40</v>
      </c>
      <c r="H1483" s="78" t="s">
        <v>320</v>
      </c>
    </row>
    <row r="1484" spans="1:8" ht="16.5" thickBot="1" x14ac:dyDescent="0.3">
      <c r="A1484" s="274"/>
      <c r="B1484" s="276"/>
      <c r="C1484" s="51" t="s">
        <v>6</v>
      </c>
      <c r="D1484" s="91">
        <v>4</v>
      </c>
      <c r="E1484" s="159" t="s">
        <v>229</v>
      </c>
      <c r="F1484" s="50"/>
      <c r="G1484" s="128"/>
      <c r="H1484" s="79"/>
    </row>
    <row r="1485" spans="1:8" x14ac:dyDescent="0.25">
      <c r="A1485" s="283">
        <v>46163</v>
      </c>
      <c r="B1485" s="268" t="s">
        <v>36</v>
      </c>
      <c r="C1485" s="23" t="s">
        <v>6</v>
      </c>
      <c r="D1485" s="263">
        <v>5</v>
      </c>
      <c r="E1485" s="164" t="s">
        <v>456</v>
      </c>
      <c r="F1485" s="12">
        <v>35</v>
      </c>
      <c r="G1485" s="70">
        <v>102</v>
      </c>
      <c r="H1485" s="176"/>
    </row>
    <row r="1486" spans="1:8" x14ac:dyDescent="0.25">
      <c r="A1486" s="283"/>
      <c r="B1486" s="268"/>
      <c r="C1486" s="25" t="s">
        <v>6</v>
      </c>
      <c r="D1486" s="263"/>
      <c r="E1486" s="98" t="s">
        <v>90</v>
      </c>
      <c r="F1486" s="15">
        <v>24</v>
      </c>
      <c r="G1486" s="70">
        <v>102</v>
      </c>
      <c r="H1486" s="78"/>
    </row>
    <row r="1487" spans="1:8" x14ac:dyDescent="0.25">
      <c r="A1487" s="283"/>
      <c r="B1487" s="268"/>
      <c r="C1487" s="25" t="s">
        <v>6</v>
      </c>
      <c r="D1487" s="264"/>
      <c r="E1487" s="98" t="s">
        <v>456</v>
      </c>
      <c r="F1487" s="15">
        <v>24</v>
      </c>
      <c r="G1487" s="35">
        <v>104</v>
      </c>
      <c r="H1487" s="78"/>
    </row>
    <row r="1488" spans="1:8" x14ac:dyDescent="0.25">
      <c r="A1488" s="283"/>
      <c r="B1488" s="268"/>
      <c r="C1488" s="25" t="s">
        <v>6</v>
      </c>
      <c r="D1488" s="265">
        <v>6</v>
      </c>
      <c r="E1488" s="98" t="s">
        <v>90</v>
      </c>
      <c r="F1488" s="15">
        <v>52</v>
      </c>
      <c r="G1488" s="35">
        <v>105</v>
      </c>
      <c r="H1488" s="78"/>
    </row>
    <row r="1489" spans="1:8" x14ac:dyDescent="0.25">
      <c r="A1489" s="283"/>
      <c r="B1489" s="268"/>
      <c r="C1489" s="25" t="s">
        <v>6</v>
      </c>
      <c r="D1489" s="264"/>
      <c r="E1489" s="98" t="s">
        <v>456</v>
      </c>
      <c r="F1489" s="15">
        <v>62</v>
      </c>
      <c r="G1489" s="35">
        <v>105</v>
      </c>
      <c r="H1489" s="78"/>
    </row>
    <row r="1490" spans="1:8" x14ac:dyDescent="0.25">
      <c r="A1490" s="283"/>
      <c r="B1490" s="268"/>
      <c r="C1490" s="25" t="s">
        <v>6</v>
      </c>
      <c r="D1490" s="265">
        <v>6</v>
      </c>
      <c r="E1490" s="98" t="s">
        <v>90</v>
      </c>
      <c r="F1490" s="15">
        <v>50</v>
      </c>
      <c r="G1490" s="35">
        <v>103</v>
      </c>
      <c r="H1490" s="78"/>
    </row>
    <row r="1491" spans="1:8" x14ac:dyDescent="0.25">
      <c r="A1491" s="283"/>
      <c r="B1491" s="268"/>
      <c r="C1491" s="25" t="s">
        <v>6</v>
      </c>
      <c r="D1491" s="264"/>
      <c r="E1491" s="98" t="s">
        <v>456</v>
      </c>
      <c r="F1491" s="15">
        <v>62</v>
      </c>
      <c r="G1491" s="35">
        <v>103</v>
      </c>
      <c r="H1491" s="78"/>
    </row>
    <row r="1492" spans="1:8" x14ac:dyDescent="0.25">
      <c r="A1492" s="283"/>
      <c r="B1492" s="268"/>
      <c r="C1492" s="25" t="s">
        <v>6</v>
      </c>
      <c r="D1492" s="265">
        <v>6</v>
      </c>
      <c r="E1492" s="98" t="s">
        <v>90</v>
      </c>
      <c r="F1492" s="15">
        <v>38</v>
      </c>
      <c r="G1492" s="35">
        <v>109</v>
      </c>
      <c r="H1492" s="78"/>
    </row>
    <row r="1493" spans="1:8" x14ac:dyDescent="0.25">
      <c r="A1493" s="283"/>
      <c r="B1493" s="268"/>
      <c r="C1493" s="25" t="s">
        <v>6</v>
      </c>
      <c r="D1493" s="264"/>
      <c r="E1493" s="98" t="s">
        <v>456</v>
      </c>
      <c r="F1493" s="15">
        <v>16</v>
      </c>
      <c r="G1493" s="35">
        <v>109</v>
      </c>
      <c r="H1493" s="78"/>
    </row>
    <row r="1494" spans="1:8" x14ac:dyDescent="0.25">
      <c r="A1494" s="283"/>
      <c r="B1494" s="268"/>
      <c r="C1494" s="25" t="s">
        <v>6</v>
      </c>
      <c r="D1494" s="265">
        <v>2</v>
      </c>
      <c r="E1494" s="98" t="s">
        <v>280</v>
      </c>
      <c r="F1494" s="15"/>
      <c r="G1494" s="35"/>
      <c r="H1494" s="78"/>
    </row>
    <row r="1495" spans="1:8" x14ac:dyDescent="0.25">
      <c r="A1495" s="283"/>
      <c r="B1495" s="268"/>
      <c r="C1495" s="25" t="s">
        <v>6</v>
      </c>
      <c r="D1495" s="264"/>
      <c r="E1495" s="98" t="s">
        <v>110</v>
      </c>
      <c r="F1495" s="15">
        <v>19</v>
      </c>
      <c r="G1495" s="35"/>
      <c r="H1495" s="78"/>
    </row>
    <row r="1496" spans="1:8" x14ac:dyDescent="0.25">
      <c r="A1496" s="283"/>
      <c r="B1496" s="268"/>
      <c r="C1496" s="25" t="s">
        <v>6</v>
      </c>
      <c r="D1496" s="248">
        <v>2</v>
      </c>
      <c r="E1496" s="98" t="s">
        <v>218</v>
      </c>
      <c r="F1496" s="15"/>
      <c r="G1496" s="35"/>
      <c r="H1496" s="78"/>
    </row>
    <row r="1497" spans="1:8" x14ac:dyDescent="0.25">
      <c r="A1497" s="285">
        <v>46163</v>
      </c>
      <c r="B1497" s="350" t="s">
        <v>5</v>
      </c>
      <c r="C1497" s="25" t="s">
        <v>6</v>
      </c>
      <c r="D1497" s="265">
        <v>7</v>
      </c>
      <c r="E1497" s="98" t="s">
        <v>317</v>
      </c>
      <c r="F1497" s="15">
        <v>8</v>
      </c>
      <c r="G1497" s="35" t="s">
        <v>40</v>
      </c>
      <c r="H1497" s="78" t="s">
        <v>320</v>
      </c>
    </row>
    <row r="1498" spans="1:8" x14ac:dyDescent="0.25">
      <c r="A1498" s="283"/>
      <c r="B1498" s="280"/>
      <c r="C1498" s="25" t="s">
        <v>6</v>
      </c>
      <c r="D1498" s="263"/>
      <c r="E1498" s="98" t="s">
        <v>199</v>
      </c>
      <c r="F1498" s="15">
        <v>1</v>
      </c>
      <c r="G1498" s="35" t="s">
        <v>40</v>
      </c>
      <c r="H1498" s="78" t="s">
        <v>320</v>
      </c>
    </row>
    <row r="1499" spans="1:8" x14ac:dyDescent="0.25">
      <c r="A1499" s="283"/>
      <c r="B1499" s="280"/>
      <c r="C1499" s="25" t="s">
        <v>6</v>
      </c>
      <c r="D1499" s="263"/>
      <c r="E1499" s="98" t="s">
        <v>108</v>
      </c>
      <c r="F1499" s="15">
        <v>3</v>
      </c>
      <c r="G1499" s="35" t="s">
        <v>40</v>
      </c>
      <c r="H1499" s="78" t="s">
        <v>320</v>
      </c>
    </row>
    <row r="1500" spans="1:8" x14ac:dyDescent="0.25">
      <c r="A1500" s="283"/>
      <c r="B1500" s="280"/>
      <c r="C1500" s="25" t="s">
        <v>6</v>
      </c>
      <c r="D1500" s="264"/>
      <c r="E1500" s="98" t="s">
        <v>83</v>
      </c>
      <c r="F1500" s="15">
        <v>3</v>
      </c>
      <c r="G1500" s="35" t="s">
        <v>40</v>
      </c>
      <c r="H1500" s="78" t="s">
        <v>320</v>
      </c>
    </row>
    <row r="1501" spans="1:8" x14ac:dyDescent="0.25">
      <c r="A1501" s="283"/>
      <c r="B1501" s="280"/>
      <c r="C1501" s="25" t="s">
        <v>6</v>
      </c>
      <c r="D1501" s="265">
        <v>7</v>
      </c>
      <c r="E1501" s="98" t="s">
        <v>317</v>
      </c>
      <c r="F1501" s="15">
        <v>9</v>
      </c>
      <c r="G1501" s="35" t="s">
        <v>40</v>
      </c>
      <c r="H1501" s="78" t="s">
        <v>320</v>
      </c>
    </row>
    <row r="1502" spans="1:8" x14ac:dyDescent="0.25">
      <c r="A1502" s="283"/>
      <c r="B1502" s="280"/>
      <c r="C1502" s="25" t="s">
        <v>6</v>
      </c>
      <c r="D1502" s="263"/>
      <c r="E1502" s="98" t="s">
        <v>199</v>
      </c>
      <c r="F1502" s="15">
        <v>1.5</v>
      </c>
      <c r="G1502" s="35" t="s">
        <v>40</v>
      </c>
      <c r="H1502" s="78" t="s">
        <v>320</v>
      </c>
    </row>
    <row r="1503" spans="1:8" x14ac:dyDescent="0.25">
      <c r="A1503" s="283"/>
      <c r="B1503" s="280"/>
      <c r="C1503" s="25" t="s">
        <v>6</v>
      </c>
      <c r="D1503" s="263"/>
      <c r="E1503" s="98" t="s">
        <v>108</v>
      </c>
      <c r="F1503" s="15">
        <v>2</v>
      </c>
      <c r="G1503" s="35" t="s">
        <v>40</v>
      </c>
      <c r="H1503" s="78" t="s">
        <v>320</v>
      </c>
    </row>
    <row r="1504" spans="1:8" x14ac:dyDescent="0.25">
      <c r="A1504" s="283"/>
      <c r="B1504" s="280"/>
      <c r="C1504" s="25" t="s">
        <v>6</v>
      </c>
      <c r="D1504" s="264"/>
      <c r="E1504" s="98" t="s">
        <v>83</v>
      </c>
      <c r="F1504" s="15">
        <v>3</v>
      </c>
      <c r="G1504" s="35" t="s">
        <v>40</v>
      </c>
      <c r="H1504" s="78" t="s">
        <v>320</v>
      </c>
    </row>
    <row r="1505" spans="1:8" x14ac:dyDescent="0.25">
      <c r="A1505" s="283"/>
      <c r="B1505" s="280"/>
      <c r="C1505" s="25" t="s">
        <v>6</v>
      </c>
      <c r="D1505" s="265">
        <v>5</v>
      </c>
      <c r="E1505" s="98" t="s">
        <v>94</v>
      </c>
      <c r="F1505" s="15">
        <v>6</v>
      </c>
      <c r="G1505" s="35" t="s">
        <v>165</v>
      </c>
      <c r="H1505" s="78" t="s">
        <v>125</v>
      </c>
    </row>
    <row r="1506" spans="1:8" x14ac:dyDescent="0.25">
      <c r="A1506" s="283"/>
      <c r="B1506" s="280"/>
      <c r="C1506" s="25" t="s">
        <v>6</v>
      </c>
      <c r="D1506" s="264"/>
      <c r="E1506" s="98" t="s">
        <v>201</v>
      </c>
      <c r="F1506" s="15">
        <v>69</v>
      </c>
      <c r="G1506" s="35" t="s">
        <v>165</v>
      </c>
      <c r="H1506" s="78" t="s">
        <v>125</v>
      </c>
    </row>
    <row r="1507" spans="1:8" x14ac:dyDescent="0.25">
      <c r="A1507" s="283"/>
      <c r="B1507" s="280"/>
      <c r="C1507" s="25" t="s">
        <v>13</v>
      </c>
      <c r="D1507" s="248">
        <v>5</v>
      </c>
      <c r="E1507" s="98" t="s">
        <v>256</v>
      </c>
      <c r="F1507" s="15"/>
      <c r="G1507" s="35"/>
      <c r="H1507" s="78"/>
    </row>
    <row r="1508" spans="1:8" ht="45.6" customHeight="1" x14ac:dyDescent="0.25">
      <c r="A1508" s="283"/>
      <c r="B1508" s="280"/>
      <c r="C1508" s="25" t="s">
        <v>13</v>
      </c>
      <c r="D1508" s="245">
        <v>3</v>
      </c>
      <c r="E1508" s="98" t="s">
        <v>321</v>
      </c>
      <c r="F1508" s="15"/>
      <c r="G1508" s="35" t="s">
        <v>322</v>
      </c>
      <c r="H1508" s="78" t="s">
        <v>323</v>
      </c>
    </row>
    <row r="1509" spans="1:8" x14ac:dyDescent="0.25">
      <c r="A1509" s="283"/>
      <c r="B1509" s="280"/>
      <c r="C1509" s="25" t="s">
        <v>13</v>
      </c>
      <c r="D1509" s="248">
        <v>5</v>
      </c>
      <c r="E1509" s="98" t="s">
        <v>58</v>
      </c>
      <c r="F1509" s="15">
        <v>12</v>
      </c>
      <c r="G1509" s="35" t="s">
        <v>322</v>
      </c>
      <c r="H1509" s="78"/>
    </row>
    <row r="1510" spans="1:8" x14ac:dyDescent="0.25">
      <c r="A1510" s="283"/>
      <c r="B1510" s="280"/>
      <c r="C1510" s="25" t="s">
        <v>13</v>
      </c>
      <c r="D1510" s="265">
        <v>4</v>
      </c>
      <c r="E1510" s="98" t="s">
        <v>147</v>
      </c>
      <c r="F1510" s="15">
        <v>15</v>
      </c>
      <c r="G1510" s="35">
        <v>109</v>
      </c>
      <c r="H1510" s="78" t="s">
        <v>125</v>
      </c>
    </row>
    <row r="1511" spans="1:8" x14ac:dyDescent="0.25">
      <c r="A1511" s="283"/>
      <c r="B1511" s="280"/>
      <c r="C1511" s="25" t="s">
        <v>13</v>
      </c>
      <c r="D1511" s="264"/>
      <c r="E1511" s="98" t="s">
        <v>147</v>
      </c>
      <c r="F1511" s="15">
        <v>10</v>
      </c>
      <c r="G1511" s="35">
        <v>110</v>
      </c>
      <c r="H1511" s="78" t="s">
        <v>125</v>
      </c>
    </row>
    <row r="1512" spans="1:8" ht="16.5" thickBot="1" x14ac:dyDescent="0.3">
      <c r="A1512" s="286"/>
      <c r="B1512" s="351"/>
      <c r="C1512" s="51" t="s">
        <v>13</v>
      </c>
      <c r="D1512" s="91">
        <v>2</v>
      </c>
      <c r="E1512" s="159" t="s">
        <v>229</v>
      </c>
      <c r="F1512" s="50"/>
      <c r="G1512" s="71"/>
      <c r="H1512" s="79"/>
    </row>
    <row r="1513" spans="1:8" x14ac:dyDescent="0.25">
      <c r="A1513" s="270">
        <v>46164</v>
      </c>
      <c r="B1513" s="279" t="s">
        <v>36</v>
      </c>
      <c r="C1513" s="74" t="s">
        <v>6</v>
      </c>
      <c r="D1513" s="262">
        <v>3</v>
      </c>
      <c r="E1513" s="165" t="s">
        <v>90</v>
      </c>
      <c r="F1513" s="75">
        <v>32</v>
      </c>
      <c r="G1513" s="76">
        <v>103</v>
      </c>
      <c r="H1513" s="77" t="s">
        <v>125</v>
      </c>
    </row>
    <row r="1514" spans="1:8" x14ac:dyDescent="0.25">
      <c r="A1514" s="271"/>
      <c r="B1514" s="280"/>
      <c r="C1514" s="23" t="s">
        <v>6</v>
      </c>
      <c r="D1514" s="264"/>
      <c r="E1514" s="98" t="s">
        <v>456</v>
      </c>
      <c r="F1514" s="15">
        <v>32</v>
      </c>
      <c r="G1514" s="70">
        <v>103</v>
      </c>
      <c r="H1514" s="78"/>
    </row>
    <row r="1515" spans="1:8" x14ac:dyDescent="0.25">
      <c r="A1515" s="271"/>
      <c r="B1515" s="280"/>
      <c r="C1515" s="23" t="s">
        <v>6</v>
      </c>
      <c r="D1515" s="265">
        <v>4</v>
      </c>
      <c r="E1515" s="98" t="s">
        <v>90</v>
      </c>
      <c r="F1515" s="15">
        <v>20</v>
      </c>
      <c r="G1515" s="35">
        <v>105</v>
      </c>
      <c r="H1515" s="78" t="s">
        <v>125</v>
      </c>
    </row>
    <row r="1516" spans="1:8" x14ac:dyDescent="0.25">
      <c r="A1516" s="271"/>
      <c r="B1516" s="280"/>
      <c r="C1516" s="23" t="s">
        <v>6</v>
      </c>
      <c r="D1516" s="264"/>
      <c r="E1516" s="98" t="s">
        <v>456</v>
      </c>
      <c r="F1516" s="15">
        <v>34</v>
      </c>
      <c r="G1516" s="35">
        <v>105</v>
      </c>
      <c r="H1516" s="78"/>
    </row>
    <row r="1517" spans="1:8" x14ac:dyDescent="0.25">
      <c r="A1517" s="271"/>
      <c r="B1517" s="280"/>
      <c r="C1517" s="23" t="s">
        <v>6</v>
      </c>
      <c r="D1517" s="265">
        <v>3</v>
      </c>
      <c r="E1517" s="98" t="s">
        <v>90</v>
      </c>
      <c r="F1517" s="15">
        <v>22</v>
      </c>
      <c r="G1517" s="35">
        <v>102</v>
      </c>
      <c r="H1517" s="78" t="s">
        <v>125</v>
      </c>
    </row>
    <row r="1518" spans="1:8" x14ac:dyDescent="0.25">
      <c r="A1518" s="271"/>
      <c r="B1518" s="280"/>
      <c r="C1518" s="23" t="s">
        <v>6</v>
      </c>
      <c r="D1518" s="264"/>
      <c r="E1518" s="98" t="s">
        <v>456</v>
      </c>
      <c r="F1518" s="15">
        <v>43</v>
      </c>
      <c r="G1518" s="35">
        <v>102</v>
      </c>
      <c r="H1518" s="78"/>
    </row>
    <row r="1519" spans="1:8" x14ac:dyDescent="0.25">
      <c r="A1519" s="271"/>
      <c r="B1519" s="280"/>
      <c r="C1519" s="25" t="s">
        <v>13</v>
      </c>
      <c r="D1519" s="265">
        <v>4</v>
      </c>
      <c r="E1519" s="98" t="s">
        <v>246</v>
      </c>
      <c r="F1519" s="15">
        <v>1</v>
      </c>
      <c r="G1519" s="35">
        <v>112</v>
      </c>
      <c r="H1519" s="78"/>
    </row>
    <row r="1520" spans="1:8" x14ac:dyDescent="0.25">
      <c r="A1520" s="271"/>
      <c r="B1520" s="280"/>
      <c r="C1520" s="25" t="s">
        <v>13</v>
      </c>
      <c r="D1520" s="263"/>
      <c r="E1520" s="98" t="s">
        <v>248</v>
      </c>
      <c r="F1520" s="15">
        <v>1</v>
      </c>
      <c r="G1520" s="35">
        <v>112</v>
      </c>
      <c r="H1520" s="78"/>
    </row>
    <row r="1521" spans="1:8" x14ac:dyDescent="0.25">
      <c r="A1521" s="271"/>
      <c r="B1521" s="280"/>
      <c r="C1521" s="25" t="s">
        <v>13</v>
      </c>
      <c r="D1521" s="263"/>
      <c r="E1521" s="98" t="s">
        <v>250</v>
      </c>
      <c r="F1521" s="15">
        <v>1</v>
      </c>
      <c r="G1521" s="35">
        <v>112</v>
      </c>
      <c r="H1521" s="78"/>
    </row>
    <row r="1522" spans="1:8" x14ac:dyDescent="0.25">
      <c r="A1522" s="271"/>
      <c r="B1522" s="280"/>
      <c r="C1522" s="25" t="s">
        <v>13</v>
      </c>
      <c r="D1522" s="264"/>
      <c r="E1522" s="98" t="s">
        <v>327</v>
      </c>
      <c r="F1522" s="15">
        <v>1.5</v>
      </c>
      <c r="G1522" s="35">
        <v>112</v>
      </c>
      <c r="H1522" s="78"/>
    </row>
    <row r="1523" spans="1:8" x14ac:dyDescent="0.25">
      <c r="A1523" s="271"/>
      <c r="B1523" s="280"/>
      <c r="C1523" s="25" t="s">
        <v>13</v>
      </c>
      <c r="D1523" s="265">
        <v>3</v>
      </c>
      <c r="E1523" s="98" t="s">
        <v>254</v>
      </c>
      <c r="F1523" s="15">
        <v>1</v>
      </c>
      <c r="G1523" s="35">
        <v>111</v>
      </c>
      <c r="H1523" s="78"/>
    </row>
    <row r="1524" spans="1:8" x14ac:dyDescent="0.25">
      <c r="A1524" s="271"/>
      <c r="B1524" s="280"/>
      <c r="C1524" s="25" t="s">
        <v>13</v>
      </c>
      <c r="D1524" s="264"/>
      <c r="E1524" s="98" t="s">
        <v>327</v>
      </c>
      <c r="F1524" s="15">
        <v>0.5</v>
      </c>
      <c r="G1524" s="35">
        <v>111</v>
      </c>
      <c r="H1524" s="78"/>
    </row>
    <row r="1525" spans="1:8" x14ac:dyDescent="0.25">
      <c r="A1525" s="271"/>
      <c r="B1525" s="280"/>
      <c r="C1525" s="25" t="s">
        <v>13</v>
      </c>
      <c r="D1525" s="265">
        <v>3</v>
      </c>
      <c r="E1525" s="98" t="s">
        <v>245</v>
      </c>
      <c r="F1525" s="15">
        <v>1</v>
      </c>
      <c r="G1525" s="35">
        <v>117</v>
      </c>
      <c r="H1525" s="78"/>
    </row>
    <row r="1526" spans="1:8" x14ac:dyDescent="0.25">
      <c r="A1526" s="271"/>
      <c r="B1526" s="280"/>
      <c r="C1526" s="25" t="s">
        <v>13</v>
      </c>
      <c r="D1526" s="263"/>
      <c r="E1526" s="98" t="s">
        <v>247</v>
      </c>
      <c r="F1526" s="15">
        <v>1</v>
      </c>
      <c r="G1526" s="35">
        <v>117</v>
      </c>
      <c r="H1526" s="78"/>
    </row>
    <row r="1527" spans="1:8" x14ac:dyDescent="0.25">
      <c r="A1527" s="271"/>
      <c r="B1527" s="280"/>
      <c r="C1527" s="25" t="s">
        <v>13</v>
      </c>
      <c r="D1527" s="263"/>
      <c r="E1527" s="98" t="s">
        <v>249</v>
      </c>
      <c r="F1527" s="15">
        <v>1</v>
      </c>
      <c r="G1527" s="35">
        <v>117</v>
      </c>
      <c r="H1527" s="78"/>
    </row>
    <row r="1528" spans="1:8" x14ac:dyDescent="0.25">
      <c r="A1528" s="271"/>
      <c r="B1528" s="280"/>
      <c r="C1528" s="25" t="s">
        <v>13</v>
      </c>
      <c r="D1528" s="264"/>
      <c r="E1528" s="98" t="s">
        <v>327</v>
      </c>
      <c r="F1528" s="15">
        <v>1.5</v>
      </c>
      <c r="G1528" s="35">
        <v>117</v>
      </c>
      <c r="H1528" s="78"/>
    </row>
    <row r="1529" spans="1:8" x14ac:dyDescent="0.25">
      <c r="A1529" s="271"/>
      <c r="B1529" s="280"/>
      <c r="C1529" s="25" t="s">
        <v>13</v>
      </c>
      <c r="D1529" s="248">
        <v>2</v>
      </c>
      <c r="E1529" s="98" t="s">
        <v>280</v>
      </c>
      <c r="F1529" s="15"/>
      <c r="G1529" s="35"/>
      <c r="H1529" s="78"/>
    </row>
    <row r="1530" spans="1:8" x14ac:dyDescent="0.25">
      <c r="A1530" s="272"/>
      <c r="B1530" s="281"/>
      <c r="C1530" s="25" t="s">
        <v>13</v>
      </c>
      <c r="D1530" s="248">
        <v>2</v>
      </c>
      <c r="E1530" s="98" t="s">
        <v>218</v>
      </c>
      <c r="F1530" s="15"/>
      <c r="G1530" s="35"/>
      <c r="H1530" s="78"/>
    </row>
    <row r="1531" spans="1:8" x14ac:dyDescent="0.25">
      <c r="A1531" s="283">
        <v>46164</v>
      </c>
      <c r="B1531" s="261" t="s">
        <v>5</v>
      </c>
      <c r="C1531" s="25" t="s">
        <v>6</v>
      </c>
      <c r="D1531" s="265">
        <v>4</v>
      </c>
      <c r="E1531" s="98" t="s">
        <v>90</v>
      </c>
      <c r="F1531" s="15">
        <v>25</v>
      </c>
      <c r="G1531" s="35">
        <v>110</v>
      </c>
      <c r="H1531" s="78" t="s">
        <v>125</v>
      </c>
    </row>
    <row r="1532" spans="1:8" x14ac:dyDescent="0.25">
      <c r="A1532" s="283"/>
      <c r="B1532" s="268"/>
      <c r="C1532" s="25" t="s">
        <v>6</v>
      </c>
      <c r="D1532" s="264"/>
      <c r="E1532" s="98" t="s">
        <v>456</v>
      </c>
      <c r="F1532" s="15">
        <v>20</v>
      </c>
      <c r="G1532" s="35">
        <v>110</v>
      </c>
      <c r="H1532" s="78"/>
    </row>
    <row r="1533" spans="1:8" ht="18" customHeight="1" x14ac:dyDescent="0.25">
      <c r="A1533" s="283"/>
      <c r="B1533" s="268"/>
      <c r="C1533" s="25" t="s">
        <v>6</v>
      </c>
      <c r="D1533" s="265">
        <v>4</v>
      </c>
      <c r="E1533" s="98" t="s">
        <v>317</v>
      </c>
      <c r="F1533" s="15">
        <v>-9</v>
      </c>
      <c r="G1533" s="35" t="s">
        <v>40</v>
      </c>
      <c r="H1533" s="78" t="s">
        <v>328</v>
      </c>
    </row>
    <row r="1534" spans="1:8" x14ac:dyDescent="0.25">
      <c r="A1534" s="283"/>
      <c r="B1534" s="268"/>
      <c r="C1534" s="25" t="s">
        <v>6</v>
      </c>
      <c r="D1534" s="264"/>
      <c r="E1534" s="98" t="s">
        <v>317</v>
      </c>
      <c r="F1534" s="15">
        <v>3</v>
      </c>
      <c r="G1534" s="35" t="s">
        <v>40</v>
      </c>
      <c r="H1534" s="78"/>
    </row>
    <row r="1535" spans="1:8" x14ac:dyDescent="0.25">
      <c r="A1535" s="283"/>
      <c r="B1535" s="268"/>
      <c r="C1535" s="25" t="s">
        <v>6</v>
      </c>
      <c r="D1535" s="265">
        <v>4</v>
      </c>
      <c r="E1535" s="98" t="s">
        <v>329</v>
      </c>
      <c r="F1535" s="15"/>
      <c r="G1535" s="15">
        <v>117</v>
      </c>
      <c r="H1535" s="78" t="s">
        <v>330</v>
      </c>
    </row>
    <row r="1536" spans="1:8" x14ac:dyDescent="0.25">
      <c r="A1536" s="283"/>
      <c r="B1536" s="268"/>
      <c r="C1536" s="25" t="s">
        <v>6</v>
      </c>
      <c r="D1536" s="264"/>
      <c r="E1536" s="98" t="s">
        <v>329</v>
      </c>
      <c r="F1536" s="15"/>
      <c r="G1536" s="15">
        <v>112</v>
      </c>
      <c r="H1536" s="78" t="s">
        <v>331</v>
      </c>
    </row>
    <row r="1537" spans="1:8" x14ac:dyDescent="0.25">
      <c r="A1537" s="283"/>
      <c r="B1537" s="268"/>
      <c r="C1537" s="25" t="s">
        <v>13</v>
      </c>
      <c r="D1537" s="265">
        <v>6</v>
      </c>
      <c r="E1537" s="98" t="s">
        <v>255</v>
      </c>
      <c r="F1537" s="15">
        <v>1</v>
      </c>
      <c r="G1537" s="35">
        <v>111</v>
      </c>
      <c r="H1537" s="78"/>
    </row>
    <row r="1538" spans="1:8" x14ac:dyDescent="0.25">
      <c r="A1538" s="283"/>
      <c r="B1538" s="268"/>
      <c r="C1538" s="25" t="s">
        <v>13</v>
      </c>
      <c r="D1538" s="264"/>
      <c r="E1538" s="98" t="s">
        <v>290</v>
      </c>
      <c r="F1538" s="15">
        <v>1</v>
      </c>
      <c r="G1538" s="35">
        <v>112</v>
      </c>
      <c r="H1538" s="78" t="s">
        <v>290</v>
      </c>
    </row>
    <row r="1539" spans="1:8" x14ac:dyDescent="0.25">
      <c r="A1539" s="283"/>
      <c r="B1539" s="268"/>
      <c r="C1539" s="25" t="s">
        <v>13</v>
      </c>
      <c r="D1539" s="248">
        <v>5</v>
      </c>
      <c r="E1539" s="98" t="s">
        <v>256</v>
      </c>
      <c r="F1539" s="15"/>
      <c r="G1539" s="35"/>
      <c r="H1539" s="78"/>
    </row>
    <row r="1540" spans="1:8" x14ac:dyDescent="0.25">
      <c r="A1540" s="283"/>
      <c r="B1540" s="268"/>
      <c r="C1540" s="25" t="s">
        <v>13</v>
      </c>
      <c r="D1540" s="248">
        <v>4</v>
      </c>
      <c r="E1540" s="98" t="s">
        <v>151</v>
      </c>
      <c r="F1540" s="15">
        <v>10</v>
      </c>
      <c r="G1540" s="35" t="s">
        <v>75</v>
      </c>
      <c r="H1540" s="78" t="s">
        <v>332</v>
      </c>
    </row>
    <row r="1541" spans="1:8" x14ac:dyDescent="0.25">
      <c r="A1541" s="283"/>
      <c r="B1541" s="268"/>
      <c r="C1541" s="25" t="s">
        <v>13</v>
      </c>
      <c r="D1541" s="265">
        <v>4</v>
      </c>
      <c r="E1541" s="98" t="s">
        <v>73</v>
      </c>
      <c r="F1541" s="15">
        <v>8</v>
      </c>
      <c r="G1541" s="35">
        <v>112</v>
      </c>
      <c r="H1541" s="78"/>
    </row>
    <row r="1542" spans="1:8" x14ac:dyDescent="0.25">
      <c r="A1542" s="283"/>
      <c r="B1542" s="268"/>
      <c r="C1542" s="25" t="s">
        <v>13</v>
      </c>
      <c r="D1542" s="264"/>
      <c r="E1542" s="98" t="s">
        <v>112</v>
      </c>
      <c r="F1542" s="15">
        <v>8</v>
      </c>
      <c r="G1542" s="35">
        <v>112</v>
      </c>
      <c r="H1542" s="78" t="s">
        <v>125</v>
      </c>
    </row>
    <row r="1543" spans="1:8" x14ac:dyDescent="0.25">
      <c r="A1543" s="283"/>
      <c r="B1543" s="268"/>
      <c r="C1543" s="25" t="s">
        <v>13</v>
      </c>
      <c r="D1543" s="265">
        <v>4</v>
      </c>
      <c r="E1543" s="98" t="s">
        <v>83</v>
      </c>
      <c r="F1543" s="15">
        <v>9</v>
      </c>
      <c r="G1543" s="35">
        <v>112</v>
      </c>
      <c r="H1543" s="78"/>
    </row>
    <row r="1544" spans="1:8" x14ac:dyDescent="0.25">
      <c r="A1544" s="283"/>
      <c r="B1544" s="268"/>
      <c r="C1544" s="25" t="s">
        <v>13</v>
      </c>
      <c r="D1544" s="264"/>
      <c r="E1544" s="98" t="s">
        <v>58</v>
      </c>
      <c r="F1544" s="15">
        <v>6</v>
      </c>
      <c r="G1544" s="35">
        <v>112</v>
      </c>
      <c r="H1544" s="78"/>
    </row>
    <row r="1545" spans="1:8" x14ac:dyDescent="0.25">
      <c r="A1545" s="283"/>
      <c r="B1545" s="268"/>
      <c r="C1545" s="25" t="s">
        <v>13</v>
      </c>
      <c r="D1545" s="248">
        <v>2</v>
      </c>
      <c r="E1545" s="98" t="s">
        <v>280</v>
      </c>
      <c r="F1545" s="15"/>
      <c r="G1545" s="35"/>
      <c r="H1545" s="78"/>
    </row>
    <row r="1546" spans="1:8" ht="16.5" thickBot="1" x14ac:dyDescent="0.3">
      <c r="A1546" s="283"/>
      <c r="B1546" s="268"/>
      <c r="C1546" s="24" t="s">
        <v>13</v>
      </c>
      <c r="D1546" s="245">
        <v>2</v>
      </c>
      <c r="E1546" s="123" t="s">
        <v>229</v>
      </c>
      <c r="F1546" s="126"/>
      <c r="G1546" s="67"/>
      <c r="H1546" s="88"/>
    </row>
    <row r="1547" spans="1:8" x14ac:dyDescent="0.25">
      <c r="A1547" s="277">
        <v>46165</v>
      </c>
      <c r="B1547" s="259" t="s">
        <v>36</v>
      </c>
      <c r="C1547" s="74" t="s">
        <v>13</v>
      </c>
      <c r="D1547" s="266">
        <v>2</v>
      </c>
      <c r="E1547" s="165" t="s">
        <v>205</v>
      </c>
      <c r="F1547" s="75">
        <v>2</v>
      </c>
      <c r="G1547" s="90">
        <v>103</v>
      </c>
      <c r="H1547" s="77" t="s">
        <v>125</v>
      </c>
    </row>
    <row r="1548" spans="1:8" x14ac:dyDescent="0.25">
      <c r="A1548" s="278"/>
      <c r="B1548" s="260"/>
      <c r="C1548" s="25" t="s">
        <v>13</v>
      </c>
      <c r="D1548" s="255"/>
      <c r="E1548" s="98" t="s">
        <v>205</v>
      </c>
      <c r="F1548" s="15">
        <v>2</v>
      </c>
      <c r="G1548" s="89">
        <v>103</v>
      </c>
      <c r="H1548" s="78" t="s">
        <v>243</v>
      </c>
    </row>
    <row r="1549" spans="1:8" x14ac:dyDescent="0.25">
      <c r="A1549" s="278"/>
      <c r="B1549" s="260"/>
      <c r="C1549" s="25" t="s">
        <v>13</v>
      </c>
      <c r="D1549" s="255">
        <v>3</v>
      </c>
      <c r="E1549" s="98" t="s">
        <v>205</v>
      </c>
      <c r="F1549" s="15">
        <v>10</v>
      </c>
      <c r="G1549" s="89">
        <v>104</v>
      </c>
      <c r="H1549" s="78" t="s">
        <v>125</v>
      </c>
    </row>
    <row r="1550" spans="1:8" x14ac:dyDescent="0.25">
      <c r="A1550" s="278"/>
      <c r="B1550" s="260"/>
      <c r="C1550" s="25" t="s">
        <v>13</v>
      </c>
      <c r="D1550" s="255"/>
      <c r="E1550" s="98" t="s">
        <v>205</v>
      </c>
      <c r="F1550" s="15">
        <v>2</v>
      </c>
      <c r="G1550" s="89">
        <v>104</v>
      </c>
      <c r="H1550" s="78" t="s">
        <v>243</v>
      </c>
    </row>
    <row r="1551" spans="1:8" x14ac:dyDescent="0.25">
      <c r="A1551" s="278"/>
      <c r="B1551" s="260"/>
      <c r="C1551" s="25" t="s">
        <v>13</v>
      </c>
      <c r="D1551" s="255">
        <v>3</v>
      </c>
      <c r="E1551" s="98" t="s">
        <v>205</v>
      </c>
      <c r="F1551" s="15">
        <v>10</v>
      </c>
      <c r="G1551" s="89">
        <v>105</v>
      </c>
      <c r="H1551" s="78" t="s">
        <v>125</v>
      </c>
    </row>
    <row r="1552" spans="1:8" x14ac:dyDescent="0.25">
      <c r="A1552" s="278"/>
      <c r="B1552" s="260"/>
      <c r="C1552" s="25" t="s">
        <v>13</v>
      </c>
      <c r="D1552" s="255"/>
      <c r="E1552" s="98" t="s">
        <v>205</v>
      </c>
      <c r="F1552" s="15">
        <v>2</v>
      </c>
      <c r="G1552" s="89">
        <v>105</v>
      </c>
      <c r="H1552" s="78" t="s">
        <v>243</v>
      </c>
    </row>
    <row r="1553" spans="1:8" x14ac:dyDescent="0.25">
      <c r="A1553" s="278"/>
      <c r="B1553" s="260"/>
      <c r="C1553" s="25" t="s">
        <v>13</v>
      </c>
      <c r="D1553" s="255">
        <v>3</v>
      </c>
      <c r="E1553" s="98" t="s">
        <v>205</v>
      </c>
      <c r="F1553" s="15">
        <v>10</v>
      </c>
      <c r="G1553" s="89">
        <v>107</v>
      </c>
      <c r="H1553" s="78" t="s">
        <v>125</v>
      </c>
    </row>
    <row r="1554" spans="1:8" x14ac:dyDescent="0.25">
      <c r="A1554" s="278"/>
      <c r="B1554" s="260"/>
      <c r="C1554" s="25" t="s">
        <v>13</v>
      </c>
      <c r="D1554" s="255"/>
      <c r="E1554" s="98" t="s">
        <v>205</v>
      </c>
      <c r="F1554" s="15">
        <v>2</v>
      </c>
      <c r="G1554" s="89">
        <v>107</v>
      </c>
      <c r="H1554" s="78" t="s">
        <v>243</v>
      </c>
    </row>
    <row r="1555" spans="1:8" x14ac:dyDescent="0.25">
      <c r="A1555" s="278"/>
      <c r="B1555" s="260"/>
      <c r="C1555" s="25" t="s">
        <v>13</v>
      </c>
      <c r="D1555" s="248">
        <v>2</v>
      </c>
      <c r="E1555" s="98" t="s">
        <v>99</v>
      </c>
      <c r="F1555" s="15">
        <v>3</v>
      </c>
      <c r="G1555" s="89" t="s">
        <v>165</v>
      </c>
      <c r="H1555" s="78" t="s">
        <v>233</v>
      </c>
    </row>
    <row r="1556" spans="1:8" x14ac:dyDescent="0.25">
      <c r="A1556" s="278"/>
      <c r="B1556" s="260"/>
      <c r="C1556" s="25" t="s">
        <v>13</v>
      </c>
      <c r="D1556" s="248">
        <v>2</v>
      </c>
      <c r="E1556" s="98" t="s">
        <v>73</v>
      </c>
      <c r="F1556" s="15">
        <v>8</v>
      </c>
      <c r="G1556" s="89">
        <v>117</v>
      </c>
      <c r="H1556" s="78" t="s">
        <v>125</v>
      </c>
    </row>
    <row r="1557" spans="1:8" x14ac:dyDescent="0.25">
      <c r="A1557" s="278"/>
      <c r="B1557" s="260"/>
      <c r="C1557" s="25" t="s">
        <v>13</v>
      </c>
      <c r="D1557" s="255">
        <v>3</v>
      </c>
      <c r="E1557" s="98" t="s">
        <v>99</v>
      </c>
      <c r="F1557" s="15">
        <v>6</v>
      </c>
      <c r="G1557" s="89">
        <v>117</v>
      </c>
      <c r="H1557" s="78" t="s">
        <v>233</v>
      </c>
    </row>
    <row r="1558" spans="1:8" x14ac:dyDescent="0.25">
      <c r="A1558" s="278"/>
      <c r="B1558" s="260"/>
      <c r="C1558" s="25" t="s">
        <v>13</v>
      </c>
      <c r="D1558" s="255"/>
      <c r="E1558" s="98" t="s">
        <v>112</v>
      </c>
      <c r="F1558" s="15">
        <v>12</v>
      </c>
      <c r="G1558" s="89">
        <v>117</v>
      </c>
      <c r="H1558" s="78"/>
    </row>
    <row r="1559" spans="1:8" x14ac:dyDescent="0.25">
      <c r="A1559" s="278"/>
      <c r="B1559" s="260"/>
      <c r="C1559" s="25" t="s">
        <v>13</v>
      </c>
      <c r="D1559" s="255"/>
      <c r="E1559" s="98" t="s">
        <v>310</v>
      </c>
      <c r="F1559" s="15">
        <v>1.8</v>
      </c>
      <c r="G1559" s="89">
        <v>117</v>
      </c>
      <c r="H1559" s="78"/>
    </row>
    <row r="1560" spans="1:8" x14ac:dyDescent="0.25">
      <c r="A1560" s="278"/>
      <c r="B1560" s="260"/>
      <c r="C1560" s="25" t="s">
        <v>13</v>
      </c>
      <c r="D1560" s="255"/>
      <c r="E1560" s="98" t="s">
        <v>110</v>
      </c>
      <c r="F1560" s="15">
        <v>0.5</v>
      </c>
      <c r="G1560" s="89">
        <v>117</v>
      </c>
      <c r="H1560" s="78"/>
    </row>
    <row r="1561" spans="1:8" x14ac:dyDescent="0.25">
      <c r="A1561" s="278"/>
      <c r="B1561" s="260"/>
      <c r="C1561" s="25" t="s">
        <v>13</v>
      </c>
      <c r="D1561" s="255"/>
      <c r="E1561" s="98" t="s">
        <v>206</v>
      </c>
      <c r="F1561" s="15">
        <v>4</v>
      </c>
      <c r="G1561" s="89">
        <v>117</v>
      </c>
      <c r="H1561" s="78"/>
    </row>
    <row r="1562" spans="1:8" x14ac:dyDescent="0.25">
      <c r="A1562" s="278"/>
      <c r="B1562" s="260"/>
      <c r="C1562" s="25" t="s">
        <v>6</v>
      </c>
      <c r="D1562" s="248">
        <v>3</v>
      </c>
      <c r="E1562" s="98" t="s">
        <v>110</v>
      </c>
      <c r="F1562" s="15">
        <v>6</v>
      </c>
      <c r="G1562" s="89">
        <v>109</v>
      </c>
      <c r="H1562" s="78" t="s">
        <v>125</v>
      </c>
    </row>
    <row r="1563" spans="1:8" x14ac:dyDescent="0.25">
      <c r="A1563" s="278"/>
      <c r="B1563" s="260"/>
      <c r="C1563" s="25" t="s">
        <v>6</v>
      </c>
      <c r="D1563" s="248">
        <v>2</v>
      </c>
      <c r="E1563" s="98" t="s">
        <v>280</v>
      </c>
      <c r="F1563" s="15"/>
      <c r="G1563" s="89"/>
      <c r="H1563" s="78"/>
    </row>
    <row r="1564" spans="1:8" x14ac:dyDescent="0.25">
      <c r="A1564" s="278"/>
      <c r="B1564" s="260"/>
      <c r="C1564" s="25" t="s">
        <v>6</v>
      </c>
      <c r="D1564" s="248">
        <v>2</v>
      </c>
      <c r="E1564" s="98" t="s">
        <v>218</v>
      </c>
      <c r="F1564" s="15"/>
      <c r="G1564" s="89"/>
      <c r="H1564" s="78"/>
    </row>
    <row r="1565" spans="1:8" x14ac:dyDescent="0.25">
      <c r="A1565" s="278">
        <v>46165</v>
      </c>
      <c r="B1565" s="260" t="s">
        <v>5</v>
      </c>
      <c r="C1565" s="25" t="s">
        <v>13</v>
      </c>
      <c r="D1565" s="265">
        <v>6</v>
      </c>
      <c r="E1565" s="98" t="s">
        <v>459</v>
      </c>
      <c r="F1565" s="15"/>
      <c r="G1565" s="89">
        <v>112</v>
      </c>
      <c r="H1565" s="78" t="s">
        <v>341</v>
      </c>
    </row>
    <row r="1566" spans="1:8" x14ac:dyDescent="0.25">
      <c r="A1566" s="278"/>
      <c r="B1566" s="260"/>
      <c r="C1566" s="25" t="s">
        <v>13</v>
      </c>
      <c r="D1566" s="264"/>
      <c r="E1566" s="98" t="s">
        <v>338</v>
      </c>
      <c r="F1566" s="15"/>
      <c r="G1566" s="89">
        <v>112</v>
      </c>
      <c r="H1566" s="78" t="s">
        <v>341</v>
      </c>
    </row>
    <row r="1567" spans="1:8" x14ac:dyDescent="0.25">
      <c r="A1567" s="278"/>
      <c r="B1567" s="260"/>
      <c r="C1567" s="25" t="s">
        <v>13</v>
      </c>
      <c r="D1567" s="265">
        <v>5</v>
      </c>
      <c r="E1567" s="98" t="s">
        <v>256</v>
      </c>
      <c r="F1567" s="15"/>
      <c r="G1567" s="89"/>
      <c r="H1567" s="78"/>
    </row>
    <row r="1568" spans="1:8" x14ac:dyDescent="0.25">
      <c r="A1568" s="278"/>
      <c r="B1568" s="260"/>
      <c r="C1568" s="25" t="s">
        <v>13</v>
      </c>
      <c r="D1568" s="263"/>
      <c r="E1568" s="98" t="s">
        <v>58</v>
      </c>
      <c r="F1568" s="15">
        <v>16</v>
      </c>
      <c r="G1568" s="89" t="s">
        <v>165</v>
      </c>
      <c r="H1568" s="78"/>
    </row>
    <row r="1569" spans="1:8" x14ac:dyDescent="0.25">
      <c r="A1569" s="278"/>
      <c r="B1569" s="260"/>
      <c r="C1569" s="25" t="s">
        <v>13</v>
      </c>
      <c r="D1569" s="264"/>
      <c r="E1569" s="98" t="s">
        <v>83</v>
      </c>
      <c r="F1569" s="15">
        <v>6</v>
      </c>
      <c r="G1569" s="89" t="s">
        <v>165</v>
      </c>
      <c r="H1569" s="78"/>
    </row>
    <row r="1570" spans="1:8" x14ac:dyDescent="0.25">
      <c r="A1570" s="278"/>
      <c r="B1570" s="260"/>
      <c r="C1570" s="25" t="s">
        <v>13</v>
      </c>
      <c r="D1570" s="248">
        <v>2</v>
      </c>
      <c r="E1570" s="98" t="s">
        <v>280</v>
      </c>
      <c r="F1570" s="15"/>
      <c r="G1570" s="89"/>
      <c r="H1570" s="78" t="s">
        <v>342</v>
      </c>
    </row>
    <row r="1571" spans="1:8" x14ac:dyDescent="0.25">
      <c r="A1571" s="278"/>
      <c r="B1571" s="260"/>
      <c r="C1571" s="25" t="s">
        <v>6</v>
      </c>
      <c r="D1571" s="265">
        <v>7</v>
      </c>
      <c r="E1571" s="98" t="s">
        <v>450</v>
      </c>
      <c r="F1571" s="15">
        <v>120</v>
      </c>
      <c r="G1571" s="89" t="s">
        <v>40</v>
      </c>
      <c r="H1571" s="78"/>
    </row>
    <row r="1572" spans="1:8" x14ac:dyDescent="0.25">
      <c r="A1572" s="278"/>
      <c r="B1572" s="260"/>
      <c r="C1572" s="25" t="s">
        <v>6</v>
      </c>
      <c r="D1572" s="264"/>
      <c r="E1572" s="98" t="s">
        <v>450</v>
      </c>
      <c r="F1572" s="15">
        <v>40</v>
      </c>
      <c r="G1572" s="89">
        <v>111</v>
      </c>
      <c r="H1572" s="78"/>
    </row>
    <row r="1573" spans="1:8" x14ac:dyDescent="0.25">
      <c r="A1573" s="278"/>
      <c r="B1573" s="260"/>
      <c r="C1573" s="25" t="s">
        <v>6</v>
      </c>
      <c r="D1573" s="265">
        <v>7</v>
      </c>
      <c r="E1573" s="98" t="s">
        <v>450</v>
      </c>
      <c r="F1573" s="15">
        <v>120</v>
      </c>
      <c r="G1573" s="89" t="s">
        <v>40</v>
      </c>
      <c r="H1573" s="78"/>
    </row>
    <row r="1574" spans="1:8" x14ac:dyDescent="0.25">
      <c r="A1574" s="278"/>
      <c r="B1574" s="260"/>
      <c r="C1574" s="25" t="s">
        <v>6</v>
      </c>
      <c r="D1574" s="264"/>
      <c r="E1574" s="98" t="s">
        <v>450</v>
      </c>
      <c r="F1574" s="15">
        <v>40</v>
      </c>
      <c r="G1574" s="89">
        <v>101</v>
      </c>
      <c r="H1574" s="78"/>
    </row>
    <row r="1575" spans="1:8" x14ac:dyDescent="0.25">
      <c r="A1575" s="278"/>
      <c r="B1575" s="260"/>
      <c r="C1575" s="25" t="s">
        <v>6</v>
      </c>
      <c r="D1575" s="248">
        <v>5</v>
      </c>
      <c r="E1575" s="98" t="s">
        <v>317</v>
      </c>
      <c r="F1575" s="15">
        <v>8</v>
      </c>
      <c r="G1575" s="89">
        <v>101</v>
      </c>
      <c r="H1575" s="78"/>
    </row>
    <row r="1576" spans="1:8" x14ac:dyDescent="0.25">
      <c r="A1576" s="278"/>
      <c r="B1576" s="260"/>
      <c r="C1576" s="25" t="s">
        <v>6</v>
      </c>
      <c r="D1576" s="265">
        <v>4</v>
      </c>
      <c r="E1576" s="98" t="s">
        <v>90</v>
      </c>
      <c r="F1576" s="15">
        <v>12</v>
      </c>
      <c r="G1576" s="89">
        <v>110</v>
      </c>
      <c r="H1576" s="78"/>
    </row>
    <row r="1577" spans="1:8" x14ac:dyDescent="0.25">
      <c r="A1577" s="278"/>
      <c r="B1577" s="260"/>
      <c r="C1577" s="25" t="s">
        <v>6</v>
      </c>
      <c r="D1577" s="263"/>
      <c r="E1577" s="98" t="s">
        <v>90</v>
      </c>
      <c r="F1577" s="15">
        <v>8</v>
      </c>
      <c r="G1577" s="89">
        <v>109</v>
      </c>
      <c r="H1577" s="78"/>
    </row>
    <row r="1578" spans="1:8" x14ac:dyDescent="0.25">
      <c r="A1578" s="278"/>
      <c r="B1578" s="260"/>
      <c r="C1578" s="25" t="s">
        <v>6</v>
      </c>
      <c r="D1578" s="264"/>
      <c r="E1578" s="98" t="s">
        <v>456</v>
      </c>
      <c r="F1578" s="15">
        <v>17</v>
      </c>
      <c r="G1578" s="89">
        <v>109</v>
      </c>
      <c r="H1578" s="78"/>
    </row>
    <row r="1579" spans="1:8" ht="16.5" thickBot="1" x14ac:dyDescent="0.3">
      <c r="A1579" s="349"/>
      <c r="B1579" s="276"/>
      <c r="C1579" s="51" t="s">
        <v>6</v>
      </c>
      <c r="D1579" s="91">
        <v>2</v>
      </c>
      <c r="E1579" s="159" t="s">
        <v>229</v>
      </c>
      <c r="F1579" s="50"/>
      <c r="G1579" s="128"/>
      <c r="H1579" s="79"/>
    </row>
    <row r="1580" spans="1:8" x14ac:dyDescent="0.25">
      <c r="A1580" s="282">
        <v>46166</v>
      </c>
      <c r="B1580" s="267" t="s">
        <v>36</v>
      </c>
      <c r="C1580" s="74" t="s">
        <v>13</v>
      </c>
      <c r="D1580" s="262">
        <v>6</v>
      </c>
      <c r="E1580" s="165" t="s">
        <v>205</v>
      </c>
      <c r="F1580" s="75">
        <v>4</v>
      </c>
      <c r="G1580" s="76">
        <v>102</v>
      </c>
      <c r="H1580" s="77" t="s">
        <v>125</v>
      </c>
    </row>
    <row r="1581" spans="1:8" x14ac:dyDescent="0.25">
      <c r="A1581" s="283"/>
      <c r="B1581" s="268"/>
      <c r="C1581" s="23" t="s">
        <v>13</v>
      </c>
      <c r="D1581" s="263"/>
      <c r="E1581" s="164" t="s">
        <v>205</v>
      </c>
      <c r="F1581" s="15">
        <v>2</v>
      </c>
      <c r="G1581" s="70">
        <v>102</v>
      </c>
      <c r="H1581" s="78" t="s">
        <v>243</v>
      </c>
    </row>
    <row r="1582" spans="1:8" x14ac:dyDescent="0.25">
      <c r="A1582" s="283"/>
      <c r="B1582" s="268"/>
      <c r="C1582" s="23" t="s">
        <v>13</v>
      </c>
      <c r="D1582" s="263"/>
      <c r="E1582" s="164" t="s">
        <v>205</v>
      </c>
      <c r="F1582" s="15">
        <v>4</v>
      </c>
      <c r="G1582" s="35">
        <v>108</v>
      </c>
      <c r="H1582" s="78"/>
    </row>
    <row r="1583" spans="1:8" x14ac:dyDescent="0.25">
      <c r="A1583" s="283"/>
      <c r="B1583" s="268"/>
      <c r="C1583" s="23" t="s">
        <v>13</v>
      </c>
      <c r="D1583" s="263"/>
      <c r="E1583" s="164" t="s">
        <v>205</v>
      </c>
      <c r="F1583" s="15">
        <v>2</v>
      </c>
      <c r="G1583" s="35">
        <v>108</v>
      </c>
      <c r="H1583" s="78" t="s">
        <v>243</v>
      </c>
    </row>
    <row r="1584" spans="1:8" x14ac:dyDescent="0.25">
      <c r="A1584" s="283"/>
      <c r="B1584" s="268"/>
      <c r="C1584" s="23" t="s">
        <v>13</v>
      </c>
      <c r="D1584" s="263"/>
      <c r="E1584" s="98" t="s">
        <v>251</v>
      </c>
      <c r="F1584" s="15">
        <v>1</v>
      </c>
      <c r="G1584" s="35">
        <v>101</v>
      </c>
      <c r="H1584" s="78"/>
    </row>
    <row r="1585" spans="1:8" x14ac:dyDescent="0.25">
      <c r="A1585" s="283"/>
      <c r="B1585" s="268"/>
      <c r="C1585" s="23" t="s">
        <v>13</v>
      </c>
      <c r="D1585" s="264"/>
      <c r="E1585" s="98" t="s">
        <v>252</v>
      </c>
      <c r="F1585" s="15">
        <v>1</v>
      </c>
      <c r="G1585" s="35">
        <v>101</v>
      </c>
      <c r="H1585" s="78"/>
    </row>
    <row r="1586" spans="1:8" x14ac:dyDescent="0.25">
      <c r="A1586" s="283"/>
      <c r="B1586" s="268"/>
      <c r="C1586" s="25" t="s">
        <v>6</v>
      </c>
      <c r="D1586" s="265">
        <v>8</v>
      </c>
      <c r="E1586" s="98" t="s">
        <v>308</v>
      </c>
      <c r="F1586" s="15">
        <v>30</v>
      </c>
      <c r="G1586" s="35" t="s">
        <v>165</v>
      </c>
      <c r="H1586" s="78" t="s">
        <v>125</v>
      </c>
    </row>
    <row r="1587" spans="1:8" x14ac:dyDescent="0.25">
      <c r="A1587" s="283"/>
      <c r="B1587" s="268"/>
      <c r="C1587" s="25" t="s">
        <v>6</v>
      </c>
      <c r="D1587" s="263"/>
      <c r="E1587" s="98" t="s">
        <v>85</v>
      </c>
      <c r="F1587" s="15">
        <v>1</v>
      </c>
      <c r="G1587" s="35"/>
      <c r="H1587" s="78"/>
    </row>
    <row r="1588" spans="1:8" x14ac:dyDescent="0.25">
      <c r="A1588" s="283"/>
      <c r="B1588" s="268"/>
      <c r="C1588" s="25" t="s">
        <v>6</v>
      </c>
      <c r="D1588" s="263"/>
      <c r="E1588" s="98" t="s">
        <v>206</v>
      </c>
      <c r="F1588" s="15">
        <v>10</v>
      </c>
      <c r="G1588" s="35"/>
      <c r="H1588" s="78"/>
    </row>
    <row r="1589" spans="1:8" x14ac:dyDescent="0.25">
      <c r="A1589" s="283"/>
      <c r="B1589" s="268"/>
      <c r="C1589" s="25" t="s">
        <v>6</v>
      </c>
      <c r="D1589" s="264"/>
      <c r="E1589" s="98" t="s">
        <v>287</v>
      </c>
      <c r="F1589" s="15"/>
      <c r="G1589" s="35"/>
      <c r="H1589" s="78" t="s">
        <v>344</v>
      </c>
    </row>
    <row r="1590" spans="1:8" x14ac:dyDescent="0.25">
      <c r="A1590" s="283"/>
      <c r="B1590" s="268"/>
      <c r="C1590" s="25" t="s">
        <v>6</v>
      </c>
      <c r="D1590" s="248">
        <v>5</v>
      </c>
      <c r="E1590" s="98" t="s">
        <v>132</v>
      </c>
      <c r="F1590" s="15"/>
      <c r="G1590" s="35"/>
      <c r="H1590" s="78" t="s">
        <v>289</v>
      </c>
    </row>
    <row r="1591" spans="1:8" x14ac:dyDescent="0.25">
      <c r="A1591" s="283"/>
      <c r="B1591" s="268"/>
      <c r="C1591" s="25" t="s">
        <v>6</v>
      </c>
      <c r="D1591" s="248">
        <v>2</v>
      </c>
      <c r="E1591" s="98" t="s">
        <v>218</v>
      </c>
      <c r="F1591" s="15"/>
      <c r="G1591" s="35"/>
      <c r="H1591" s="78"/>
    </row>
    <row r="1592" spans="1:8" x14ac:dyDescent="0.25">
      <c r="A1592" s="283"/>
      <c r="B1592" s="269"/>
      <c r="C1592" s="25" t="s">
        <v>6</v>
      </c>
      <c r="D1592" s="248">
        <v>4</v>
      </c>
      <c r="E1592" s="96" t="s">
        <v>356</v>
      </c>
      <c r="F1592" s="15"/>
      <c r="G1592" s="35"/>
      <c r="H1592" s="78"/>
    </row>
    <row r="1593" spans="1:8" x14ac:dyDescent="0.25">
      <c r="A1593" s="285">
        <v>46166</v>
      </c>
      <c r="B1593" s="261" t="s">
        <v>5</v>
      </c>
      <c r="C1593" s="25" t="s">
        <v>13</v>
      </c>
      <c r="D1593" s="248">
        <v>6</v>
      </c>
      <c r="E1593" s="98" t="s">
        <v>306</v>
      </c>
      <c r="F1593" s="15">
        <v>1</v>
      </c>
      <c r="G1593" s="35">
        <v>112</v>
      </c>
      <c r="H1593" s="78"/>
    </row>
    <row r="1594" spans="1:8" x14ac:dyDescent="0.25">
      <c r="A1594" s="283"/>
      <c r="B1594" s="268"/>
      <c r="C1594" s="25" t="s">
        <v>13</v>
      </c>
      <c r="D1594" s="265">
        <v>6</v>
      </c>
      <c r="E1594" s="98" t="s">
        <v>58</v>
      </c>
      <c r="F1594" s="15">
        <v>24</v>
      </c>
      <c r="G1594" s="35" t="s">
        <v>165</v>
      </c>
      <c r="H1594" s="78"/>
    </row>
    <row r="1595" spans="1:8" x14ac:dyDescent="0.25">
      <c r="A1595" s="283"/>
      <c r="B1595" s="268"/>
      <c r="C1595" s="25" t="s">
        <v>13</v>
      </c>
      <c r="D1595" s="264"/>
      <c r="E1595" s="98" t="s">
        <v>206</v>
      </c>
      <c r="F1595" s="15">
        <v>20</v>
      </c>
      <c r="G1595" s="35" t="s">
        <v>165</v>
      </c>
      <c r="H1595" s="78"/>
    </row>
    <row r="1596" spans="1:8" x14ac:dyDescent="0.25">
      <c r="A1596" s="283"/>
      <c r="B1596" s="268"/>
      <c r="C1596" s="25" t="s">
        <v>13</v>
      </c>
      <c r="D1596" s="248">
        <v>3</v>
      </c>
      <c r="E1596" s="98" t="s">
        <v>256</v>
      </c>
      <c r="F1596" s="15"/>
      <c r="G1596" s="35" t="s">
        <v>165</v>
      </c>
      <c r="H1596" s="78"/>
    </row>
    <row r="1597" spans="1:8" x14ac:dyDescent="0.25">
      <c r="A1597" s="283"/>
      <c r="B1597" s="268"/>
      <c r="C1597" s="25" t="s">
        <v>6</v>
      </c>
      <c r="D1597" s="248">
        <v>2</v>
      </c>
      <c r="E1597" s="98" t="s">
        <v>256</v>
      </c>
      <c r="F1597" s="15"/>
      <c r="G1597" s="35" t="s">
        <v>165</v>
      </c>
      <c r="H1597" s="78"/>
    </row>
    <row r="1598" spans="1:8" x14ac:dyDescent="0.25">
      <c r="A1598" s="283"/>
      <c r="B1598" s="268"/>
      <c r="C1598" s="25" t="s">
        <v>6</v>
      </c>
      <c r="D1598" s="265">
        <v>5</v>
      </c>
      <c r="E1598" s="98" t="s">
        <v>58</v>
      </c>
      <c r="F1598" s="15">
        <v>14</v>
      </c>
      <c r="G1598" s="35">
        <v>101</v>
      </c>
      <c r="H1598" s="78"/>
    </row>
    <row r="1599" spans="1:8" x14ac:dyDescent="0.25">
      <c r="A1599" s="283"/>
      <c r="B1599" s="268"/>
      <c r="C1599" s="25" t="s">
        <v>6</v>
      </c>
      <c r="D1599" s="263"/>
      <c r="E1599" s="98" t="s">
        <v>78</v>
      </c>
      <c r="F1599" s="15">
        <v>6</v>
      </c>
      <c r="G1599" s="35">
        <v>101</v>
      </c>
      <c r="H1599" s="78"/>
    </row>
    <row r="1600" spans="1:8" x14ac:dyDescent="0.25">
      <c r="A1600" s="283"/>
      <c r="B1600" s="268"/>
      <c r="C1600" s="25" t="s">
        <v>6</v>
      </c>
      <c r="D1600" s="263"/>
      <c r="E1600" s="98" t="s">
        <v>110</v>
      </c>
      <c r="F1600" s="15">
        <v>2</v>
      </c>
      <c r="G1600" s="35">
        <v>101</v>
      </c>
      <c r="H1600" s="78"/>
    </row>
    <row r="1601" spans="1:8" x14ac:dyDescent="0.25">
      <c r="A1601" s="283"/>
      <c r="B1601" s="268"/>
      <c r="C1601" s="25" t="s">
        <v>6</v>
      </c>
      <c r="D1601" s="264"/>
      <c r="E1601" s="98" t="s">
        <v>310</v>
      </c>
      <c r="F1601" s="15">
        <v>1.2</v>
      </c>
      <c r="G1601" s="35">
        <v>101</v>
      </c>
      <c r="H1601" s="78"/>
    </row>
    <row r="1602" spans="1:8" x14ac:dyDescent="0.25">
      <c r="A1602" s="283"/>
      <c r="B1602" s="268"/>
      <c r="C1602" s="25" t="s">
        <v>6</v>
      </c>
      <c r="D1602" s="265">
        <v>3</v>
      </c>
      <c r="E1602" s="98" t="s">
        <v>147</v>
      </c>
      <c r="F1602" s="15">
        <v>4</v>
      </c>
      <c r="G1602" s="35">
        <v>101</v>
      </c>
      <c r="H1602" s="78"/>
    </row>
    <row r="1603" spans="1:8" x14ac:dyDescent="0.25">
      <c r="A1603" s="283"/>
      <c r="B1603" s="268"/>
      <c r="C1603" s="25" t="s">
        <v>6</v>
      </c>
      <c r="D1603" s="264"/>
      <c r="E1603" s="98" t="s">
        <v>199</v>
      </c>
      <c r="F1603" s="15">
        <v>4</v>
      </c>
      <c r="G1603" s="35">
        <v>101</v>
      </c>
      <c r="H1603" s="78"/>
    </row>
    <row r="1604" spans="1:8" x14ac:dyDescent="0.25">
      <c r="A1604" s="283"/>
      <c r="B1604" s="268"/>
      <c r="C1604" s="25" t="s">
        <v>6</v>
      </c>
      <c r="D1604" s="248">
        <v>4</v>
      </c>
      <c r="E1604" s="98" t="s">
        <v>345</v>
      </c>
      <c r="F1604" s="15">
        <v>60</v>
      </c>
      <c r="G1604" s="35">
        <v>101</v>
      </c>
      <c r="H1604" s="78"/>
    </row>
    <row r="1605" spans="1:8" x14ac:dyDescent="0.25">
      <c r="A1605" s="283"/>
      <c r="B1605" s="268"/>
      <c r="C1605" s="25" t="s">
        <v>6</v>
      </c>
      <c r="D1605" s="248">
        <v>4</v>
      </c>
      <c r="E1605" s="98" t="s">
        <v>267</v>
      </c>
      <c r="F1605" s="15">
        <v>-53</v>
      </c>
      <c r="G1605" s="35" t="s">
        <v>268</v>
      </c>
      <c r="H1605" s="131" t="s">
        <v>347</v>
      </c>
    </row>
    <row r="1606" spans="1:8" x14ac:dyDescent="0.25">
      <c r="A1606" s="283"/>
      <c r="B1606" s="268"/>
      <c r="C1606" s="25" t="s">
        <v>6</v>
      </c>
      <c r="D1606" s="248">
        <v>3</v>
      </c>
      <c r="E1606" s="98" t="s">
        <v>50</v>
      </c>
      <c r="F1606" s="15"/>
      <c r="G1606" s="35"/>
      <c r="H1606" s="78" t="s">
        <v>348</v>
      </c>
    </row>
    <row r="1607" spans="1:8" ht="16.5" thickBot="1" x14ac:dyDescent="0.3">
      <c r="A1607" s="286"/>
      <c r="B1607" s="273"/>
      <c r="C1607" s="51" t="s">
        <v>6</v>
      </c>
      <c r="D1607" s="91">
        <v>2</v>
      </c>
      <c r="E1607" s="159" t="s">
        <v>229</v>
      </c>
      <c r="F1607" s="50"/>
      <c r="G1607" s="71"/>
      <c r="H1607" s="79"/>
    </row>
    <row r="1608" spans="1:8" x14ac:dyDescent="0.25">
      <c r="A1608" s="282">
        <v>46167</v>
      </c>
      <c r="B1608" s="267" t="s">
        <v>36</v>
      </c>
      <c r="C1608" s="74" t="s">
        <v>6</v>
      </c>
      <c r="D1608" s="262">
        <v>3</v>
      </c>
      <c r="E1608" s="165" t="s">
        <v>58</v>
      </c>
      <c r="F1608" s="75">
        <v>4</v>
      </c>
      <c r="G1608" s="76" t="s">
        <v>75</v>
      </c>
      <c r="H1608" s="77"/>
    </row>
    <row r="1609" spans="1:8" x14ac:dyDescent="0.25">
      <c r="A1609" s="283"/>
      <c r="B1609" s="268"/>
      <c r="C1609" s="23" t="s">
        <v>6</v>
      </c>
      <c r="D1609" s="263"/>
      <c r="E1609" s="98" t="s">
        <v>108</v>
      </c>
      <c r="F1609" s="15">
        <v>8</v>
      </c>
      <c r="G1609" s="70" t="s">
        <v>75</v>
      </c>
      <c r="H1609" s="78"/>
    </row>
    <row r="1610" spans="1:8" x14ac:dyDescent="0.25">
      <c r="A1610" s="283"/>
      <c r="B1610" s="268"/>
      <c r="C1610" s="23" t="s">
        <v>6</v>
      </c>
      <c r="D1610" s="264"/>
      <c r="E1610" s="98" t="s">
        <v>346</v>
      </c>
      <c r="F1610" s="15"/>
      <c r="G1610" s="35"/>
      <c r="H1610" s="78" t="s">
        <v>350</v>
      </c>
    </row>
    <row r="1611" spans="1:8" x14ac:dyDescent="0.25">
      <c r="A1611" s="283"/>
      <c r="B1611" s="268"/>
      <c r="C1611" s="23" t="s">
        <v>6</v>
      </c>
      <c r="D1611" s="265">
        <v>5</v>
      </c>
      <c r="E1611" s="98" t="s">
        <v>110</v>
      </c>
      <c r="F1611" s="15">
        <v>4</v>
      </c>
      <c r="G1611" s="35">
        <v>104</v>
      </c>
      <c r="H1611" s="78" t="s">
        <v>125</v>
      </c>
    </row>
    <row r="1612" spans="1:8" x14ac:dyDescent="0.25">
      <c r="A1612" s="283"/>
      <c r="B1612" s="268"/>
      <c r="C1612" s="23" t="s">
        <v>6</v>
      </c>
      <c r="D1612" s="264"/>
      <c r="E1612" s="98" t="s">
        <v>110</v>
      </c>
      <c r="F1612" s="15">
        <v>6</v>
      </c>
      <c r="G1612" s="35">
        <v>107</v>
      </c>
      <c r="H1612" s="78" t="s">
        <v>125</v>
      </c>
    </row>
    <row r="1613" spans="1:8" x14ac:dyDescent="0.25">
      <c r="A1613" s="283"/>
      <c r="B1613" s="268"/>
      <c r="C1613" s="25" t="s">
        <v>13</v>
      </c>
      <c r="D1613" s="265">
        <v>4</v>
      </c>
      <c r="E1613" s="98" t="s">
        <v>82</v>
      </c>
      <c r="F1613" s="15">
        <v>7</v>
      </c>
      <c r="G1613" s="35" t="s">
        <v>165</v>
      </c>
      <c r="H1613" s="78" t="s">
        <v>125</v>
      </c>
    </row>
    <row r="1614" spans="1:8" x14ac:dyDescent="0.25">
      <c r="A1614" s="283"/>
      <c r="B1614" s="268"/>
      <c r="C1614" s="25" t="s">
        <v>13</v>
      </c>
      <c r="D1614" s="263"/>
      <c r="E1614" s="98" t="s">
        <v>71</v>
      </c>
      <c r="F1614" s="15">
        <v>6</v>
      </c>
      <c r="G1614" s="35" t="s">
        <v>165</v>
      </c>
      <c r="H1614" s="78"/>
    </row>
    <row r="1615" spans="1:8" x14ac:dyDescent="0.25">
      <c r="A1615" s="283"/>
      <c r="B1615" s="268"/>
      <c r="C1615" s="25" t="s">
        <v>13</v>
      </c>
      <c r="D1615" s="264"/>
      <c r="E1615" s="98" t="s">
        <v>310</v>
      </c>
      <c r="F1615" s="15">
        <v>1</v>
      </c>
      <c r="G1615" s="35" t="s">
        <v>165</v>
      </c>
      <c r="H1615" s="78"/>
    </row>
    <row r="1616" spans="1:8" x14ac:dyDescent="0.25">
      <c r="A1616" s="283"/>
      <c r="B1616" s="268"/>
      <c r="C1616" s="25" t="s">
        <v>6</v>
      </c>
      <c r="D1616" s="265">
        <v>3</v>
      </c>
      <c r="E1616" s="98" t="s">
        <v>97</v>
      </c>
      <c r="F1616" s="15">
        <v>1</v>
      </c>
      <c r="G1616" s="35" t="s">
        <v>75</v>
      </c>
      <c r="H1616" s="78"/>
    </row>
    <row r="1617" spans="1:8" x14ac:dyDescent="0.25">
      <c r="A1617" s="283"/>
      <c r="B1617" s="268"/>
      <c r="C1617" s="25" t="s">
        <v>6</v>
      </c>
      <c r="D1617" s="263"/>
      <c r="E1617" s="98" t="s">
        <v>97</v>
      </c>
      <c r="F1617" s="15">
        <v>1</v>
      </c>
      <c r="G1617" s="35" t="s">
        <v>75</v>
      </c>
      <c r="H1617" s="78"/>
    </row>
    <row r="1618" spans="1:8" ht="31.5" x14ac:dyDescent="0.25">
      <c r="A1618" s="283"/>
      <c r="B1618" s="268"/>
      <c r="C1618" s="25" t="s">
        <v>6</v>
      </c>
      <c r="D1618" s="264"/>
      <c r="E1618" s="98" t="s">
        <v>282</v>
      </c>
      <c r="F1618" s="15"/>
      <c r="G1618" s="35"/>
      <c r="H1618" s="78" t="s">
        <v>351</v>
      </c>
    </row>
    <row r="1619" spans="1:8" x14ac:dyDescent="0.25">
      <c r="A1619" s="283"/>
      <c r="B1619" s="268"/>
      <c r="C1619" s="25" t="s">
        <v>6</v>
      </c>
      <c r="D1619" s="265">
        <v>4</v>
      </c>
      <c r="E1619" s="98" t="s">
        <v>280</v>
      </c>
      <c r="F1619" s="15"/>
      <c r="G1619" s="35"/>
      <c r="H1619" s="78" t="s">
        <v>289</v>
      </c>
    </row>
    <row r="1620" spans="1:8" x14ac:dyDescent="0.25">
      <c r="A1620" s="283"/>
      <c r="B1620" s="268"/>
      <c r="C1620" s="25" t="s">
        <v>13</v>
      </c>
      <c r="D1620" s="263"/>
      <c r="E1620" s="98" t="s">
        <v>58</v>
      </c>
      <c r="F1620" s="15">
        <v>9</v>
      </c>
      <c r="G1620" s="35">
        <v>101</v>
      </c>
      <c r="H1620" s="78" t="s">
        <v>125</v>
      </c>
    </row>
    <row r="1621" spans="1:8" x14ac:dyDescent="0.25">
      <c r="A1621" s="283"/>
      <c r="B1621" s="268"/>
      <c r="C1621" s="25" t="s">
        <v>13</v>
      </c>
      <c r="D1621" s="263"/>
      <c r="E1621" s="98" t="s">
        <v>208</v>
      </c>
      <c r="F1621" s="15">
        <v>14</v>
      </c>
      <c r="G1621" s="35">
        <v>101</v>
      </c>
      <c r="H1621" s="78"/>
    </row>
    <row r="1622" spans="1:8" x14ac:dyDescent="0.25">
      <c r="A1622" s="283"/>
      <c r="B1622" s="268"/>
      <c r="C1622" s="25" t="s">
        <v>13</v>
      </c>
      <c r="D1622" s="263"/>
      <c r="E1622" s="98" t="s">
        <v>310</v>
      </c>
      <c r="F1622" s="15">
        <v>1.5</v>
      </c>
      <c r="G1622" s="35">
        <v>101</v>
      </c>
      <c r="H1622" s="78"/>
    </row>
    <row r="1623" spans="1:8" x14ac:dyDescent="0.25">
      <c r="A1623" s="283"/>
      <c r="B1623" s="268"/>
      <c r="C1623" s="25" t="s">
        <v>13</v>
      </c>
      <c r="D1623" s="263"/>
      <c r="E1623" s="98" t="s">
        <v>110</v>
      </c>
      <c r="F1623" s="15">
        <v>3.5</v>
      </c>
      <c r="G1623" s="35">
        <v>101</v>
      </c>
      <c r="H1623" s="78"/>
    </row>
    <row r="1624" spans="1:8" x14ac:dyDescent="0.25">
      <c r="A1624" s="283"/>
      <c r="B1624" s="268"/>
      <c r="C1624" s="25" t="s">
        <v>13</v>
      </c>
      <c r="D1624" s="264"/>
      <c r="E1624" s="98" t="s">
        <v>214</v>
      </c>
      <c r="F1624" s="15">
        <v>4</v>
      </c>
      <c r="G1624" s="35">
        <v>101</v>
      </c>
      <c r="H1624" s="78" t="s">
        <v>233</v>
      </c>
    </row>
    <row r="1625" spans="1:8" x14ac:dyDescent="0.25">
      <c r="A1625" s="284"/>
      <c r="B1625" s="269"/>
      <c r="C1625" s="25" t="s">
        <v>13</v>
      </c>
      <c r="D1625" s="248">
        <v>2</v>
      </c>
      <c r="E1625" s="98" t="s">
        <v>218</v>
      </c>
      <c r="F1625" s="15"/>
      <c r="G1625" s="35"/>
      <c r="H1625" s="78"/>
    </row>
    <row r="1626" spans="1:8" x14ac:dyDescent="0.25">
      <c r="A1626" s="285">
        <v>46167</v>
      </c>
      <c r="B1626" s="261" t="s">
        <v>5</v>
      </c>
      <c r="C1626" s="25" t="s">
        <v>6</v>
      </c>
      <c r="D1626" s="248">
        <v>15</v>
      </c>
      <c r="E1626" s="98" t="s">
        <v>352</v>
      </c>
      <c r="F1626" s="15">
        <v>123</v>
      </c>
      <c r="G1626" s="35" t="s">
        <v>156</v>
      </c>
      <c r="H1626" s="78" t="s">
        <v>353</v>
      </c>
    </row>
    <row r="1627" spans="1:8" x14ac:dyDescent="0.25">
      <c r="A1627" s="283"/>
      <c r="B1627" s="268"/>
      <c r="C1627" s="25" t="s">
        <v>6</v>
      </c>
      <c r="D1627" s="265">
        <v>4</v>
      </c>
      <c r="E1627" s="98" t="s">
        <v>58</v>
      </c>
      <c r="F1627" s="15">
        <v>4</v>
      </c>
      <c r="G1627" s="35">
        <v>101</v>
      </c>
      <c r="H1627" s="78"/>
    </row>
    <row r="1628" spans="1:8" x14ac:dyDescent="0.25">
      <c r="A1628" s="283"/>
      <c r="B1628" s="268"/>
      <c r="C1628" s="25" t="s">
        <v>6</v>
      </c>
      <c r="D1628" s="263"/>
      <c r="E1628" s="98" t="s">
        <v>110</v>
      </c>
      <c r="F1628" s="15">
        <v>1</v>
      </c>
      <c r="G1628" s="35">
        <v>102</v>
      </c>
      <c r="H1628" s="78"/>
    </row>
    <row r="1629" spans="1:8" x14ac:dyDescent="0.25">
      <c r="A1629" s="283"/>
      <c r="B1629" s="268"/>
      <c r="C1629" s="25" t="s">
        <v>6</v>
      </c>
      <c r="D1629" s="264"/>
      <c r="E1629" s="98" t="s">
        <v>310</v>
      </c>
      <c r="F1629" s="15">
        <v>1</v>
      </c>
      <c r="G1629" s="35">
        <v>103</v>
      </c>
      <c r="H1629" s="78"/>
    </row>
    <row r="1630" spans="1:8" x14ac:dyDescent="0.25">
      <c r="A1630" s="283"/>
      <c r="B1630" s="268"/>
      <c r="C1630" s="25" t="s">
        <v>6</v>
      </c>
      <c r="D1630" s="265">
        <v>4</v>
      </c>
      <c r="E1630" s="98" t="s">
        <v>90</v>
      </c>
      <c r="F1630" s="15">
        <v>10</v>
      </c>
      <c r="G1630" s="35" t="s">
        <v>165</v>
      </c>
      <c r="H1630" s="78"/>
    </row>
    <row r="1631" spans="1:8" x14ac:dyDescent="0.25">
      <c r="A1631" s="283"/>
      <c r="B1631" s="268"/>
      <c r="C1631" s="25" t="s">
        <v>6</v>
      </c>
      <c r="D1631" s="264"/>
      <c r="E1631" s="98" t="s">
        <v>456</v>
      </c>
      <c r="F1631" s="15">
        <v>18</v>
      </c>
      <c r="G1631" s="35" t="s">
        <v>165</v>
      </c>
      <c r="H1631" s="78"/>
    </row>
    <row r="1632" spans="1:8" x14ac:dyDescent="0.25">
      <c r="A1632" s="283"/>
      <c r="B1632" s="268"/>
      <c r="C1632" s="25" t="s">
        <v>6</v>
      </c>
      <c r="D1632" s="248">
        <v>2</v>
      </c>
      <c r="E1632" s="98" t="s">
        <v>256</v>
      </c>
      <c r="F1632" s="15"/>
      <c r="G1632" s="35"/>
      <c r="H1632" s="78"/>
    </row>
    <row r="1633" spans="1:8" x14ac:dyDescent="0.25">
      <c r="A1633" s="283"/>
      <c r="B1633" s="268"/>
      <c r="C1633" s="25" t="s">
        <v>6</v>
      </c>
      <c r="D1633" s="265">
        <v>2</v>
      </c>
      <c r="E1633" s="98" t="s">
        <v>329</v>
      </c>
      <c r="F1633" s="15"/>
      <c r="G1633" s="35">
        <v>101</v>
      </c>
      <c r="H1633" s="78"/>
    </row>
    <row r="1634" spans="1:8" x14ac:dyDescent="0.25">
      <c r="A1634" s="283"/>
      <c r="B1634" s="268"/>
      <c r="C1634" s="25" t="s">
        <v>6</v>
      </c>
      <c r="D1634" s="264"/>
      <c r="E1634" s="98" t="s">
        <v>345</v>
      </c>
      <c r="F1634" s="15">
        <v>52</v>
      </c>
      <c r="G1634" s="35">
        <v>101</v>
      </c>
      <c r="H1634" s="78"/>
    </row>
    <row r="1635" spans="1:8" x14ac:dyDescent="0.25">
      <c r="A1635" s="283"/>
      <c r="B1635" s="268"/>
      <c r="C1635" s="25" t="s">
        <v>13</v>
      </c>
      <c r="D1635" s="248">
        <v>3</v>
      </c>
      <c r="E1635" s="98" t="s">
        <v>256</v>
      </c>
      <c r="F1635" s="15"/>
      <c r="G1635" s="35"/>
      <c r="H1635" s="78"/>
    </row>
    <row r="1636" spans="1:8" x14ac:dyDescent="0.25">
      <c r="A1636" s="283"/>
      <c r="B1636" s="268"/>
      <c r="C1636" s="25" t="s">
        <v>6</v>
      </c>
      <c r="D1636" s="248">
        <v>6</v>
      </c>
      <c r="E1636" s="98" t="s">
        <v>352</v>
      </c>
      <c r="F1636" s="15">
        <v>53</v>
      </c>
      <c r="G1636" s="35">
        <v>112.111</v>
      </c>
      <c r="H1636" s="78" t="s">
        <v>354</v>
      </c>
    </row>
    <row r="1637" spans="1:8" ht="16.5" thickBot="1" x14ac:dyDescent="0.3">
      <c r="A1637" s="286"/>
      <c r="B1637" s="273"/>
      <c r="C1637" s="51" t="s">
        <v>6</v>
      </c>
      <c r="D1637" s="91">
        <v>2</v>
      </c>
      <c r="E1637" s="159" t="s">
        <v>229</v>
      </c>
      <c r="F1637" s="50"/>
      <c r="G1637" s="71"/>
      <c r="H1637" s="79"/>
    </row>
    <row r="1638" spans="1:8" x14ac:dyDescent="0.25">
      <c r="A1638" s="282">
        <v>46168</v>
      </c>
      <c r="B1638" s="267" t="s">
        <v>36</v>
      </c>
      <c r="C1638" s="74" t="s">
        <v>6</v>
      </c>
      <c r="D1638" s="262">
        <v>11</v>
      </c>
      <c r="E1638" s="165" t="s">
        <v>90</v>
      </c>
      <c r="F1638" s="75">
        <v>15</v>
      </c>
      <c r="G1638" s="76">
        <v>104</v>
      </c>
      <c r="H1638" s="77"/>
    </row>
    <row r="1639" spans="1:8" x14ac:dyDescent="0.25">
      <c r="A1639" s="283"/>
      <c r="B1639" s="268"/>
      <c r="C1639" s="23" t="s">
        <v>6</v>
      </c>
      <c r="D1639" s="263"/>
      <c r="E1639" s="98" t="s">
        <v>456</v>
      </c>
      <c r="F1639" s="15">
        <v>31</v>
      </c>
      <c r="G1639" s="35"/>
      <c r="H1639" s="78"/>
    </row>
    <row r="1640" spans="1:8" x14ac:dyDescent="0.25">
      <c r="A1640" s="283"/>
      <c r="B1640" s="268"/>
      <c r="C1640" s="23" t="s">
        <v>6</v>
      </c>
      <c r="D1640" s="263"/>
      <c r="E1640" s="98" t="s">
        <v>90</v>
      </c>
      <c r="F1640" s="15">
        <v>46</v>
      </c>
      <c r="G1640" s="35">
        <v>107</v>
      </c>
      <c r="H1640" s="78"/>
    </row>
    <row r="1641" spans="1:8" x14ac:dyDescent="0.25">
      <c r="A1641" s="283"/>
      <c r="B1641" s="268"/>
      <c r="C1641" s="23" t="s">
        <v>6</v>
      </c>
      <c r="D1641" s="263"/>
      <c r="E1641" s="98" t="s">
        <v>456</v>
      </c>
      <c r="F1641" s="15">
        <v>49</v>
      </c>
      <c r="G1641" s="35"/>
      <c r="H1641" s="78"/>
    </row>
    <row r="1642" spans="1:8" x14ac:dyDescent="0.25">
      <c r="A1642" s="283"/>
      <c r="B1642" s="268"/>
      <c r="C1642" s="23" t="s">
        <v>6</v>
      </c>
      <c r="D1642" s="263"/>
      <c r="E1642" s="98" t="s">
        <v>110</v>
      </c>
      <c r="F1642" s="15">
        <v>12</v>
      </c>
      <c r="G1642" s="35"/>
      <c r="H1642" s="78"/>
    </row>
    <row r="1643" spans="1:8" x14ac:dyDescent="0.25">
      <c r="A1643" s="283"/>
      <c r="B1643" s="268"/>
      <c r="C1643" s="23" t="s">
        <v>6</v>
      </c>
      <c r="D1643" s="263"/>
      <c r="E1643" s="98" t="s">
        <v>90</v>
      </c>
      <c r="F1643" s="15">
        <v>30</v>
      </c>
      <c r="G1643" s="35">
        <v>108</v>
      </c>
      <c r="H1643" s="78"/>
    </row>
    <row r="1644" spans="1:8" x14ac:dyDescent="0.25">
      <c r="A1644" s="283"/>
      <c r="B1644" s="268"/>
      <c r="C1644" s="23" t="s">
        <v>6</v>
      </c>
      <c r="D1644" s="263"/>
      <c r="E1644" s="98" t="s">
        <v>456</v>
      </c>
      <c r="F1644" s="15">
        <v>24</v>
      </c>
      <c r="G1644" s="35"/>
      <c r="H1644" s="78"/>
    </row>
    <row r="1645" spans="1:8" x14ac:dyDescent="0.25">
      <c r="A1645" s="283"/>
      <c r="B1645" s="268"/>
      <c r="C1645" s="23" t="s">
        <v>6</v>
      </c>
      <c r="D1645" s="264"/>
      <c r="E1645" s="98" t="s">
        <v>110</v>
      </c>
      <c r="F1645" s="15">
        <v>9.5</v>
      </c>
      <c r="G1645" s="35"/>
      <c r="H1645" s="78"/>
    </row>
    <row r="1646" spans="1:8" x14ac:dyDescent="0.25">
      <c r="A1646" s="283"/>
      <c r="B1646" s="268"/>
      <c r="C1646" s="25" t="s">
        <v>13</v>
      </c>
      <c r="D1646" s="265">
        <v>8</v>
      </c>
      <c r="E1646" s="98" t="s">
        <v>147</v>
      </c>
      <c r="F1646" s="15">
        <v>4</v>
      </c>
      <c r="G1646" s="35">
        <v>102</v>
      </c>
      <c r="H1646" s="78" t="s">
        <v>125</v>
      </c>
    </row>
    <row r="1647" spans="1:8" x14ac:dyDescent="0.25">
      <c r="A1647" s="283"/>
      <c r="B1647" s="268"/>
      <c r="C1647" s="25" t="s">
        <v>13</v>
      </c>
      <c r="D1647" s="263"/>
      <c r="E1647" s="98" t="s">
        <v>356</v>
      </c>
      <c r="F1647" s="15">
        <v>2</v>
      </c>
      <c r="G1647" s="35"/>
      <c r="H1647" s="78" t="s">
        <v>357</v>
      </c>
    </row>
    <row r="1648" spans="1:8" x14ac:dyDescent="0.25">
      <c r="A1648" s="283"/>
      <c r="B1648" s="268"/>
      <c r="C1648" s="25" t="s">
        <v>13</v>
      </c>
      <c r="D1648" s="263"/>
      <c r="E1648" s="98" t="s">
        <v>147</v>
      </c>
      <c r="F1648" s="15">
        <v>8</v>
      </c>
      <c r="G1648" s="35">
        <v>103</v>
      </c>
      <c r="H1648" s="78"/>
    </row>
    <row r="1649" spans="1:8" x14ac:dyDescent="0.25">
      <c r="A1649" s="283"/>
      <c r="B1649" s="268"/>
      <c r="C1649" s="25" t="s">
        <v>13</v>
      </c>
      <c r="D1649" s="263"/>
      <c r="E1649" s="98" t="s">
        <v>356</v>
      </c>
      <c r="F1649" s="15">
        <v>4</v>
      </c>
      <c r="G1649" s="35"/>
      <c r="H1649" s="78"/>
    </row>
    <row r="1650" spans="1:8" x14ac:dyDescent="0.25">
      <c r="A1650" s="283"/>
      <c r="B1650" s="268"/>
      <c r="C1650" s="25" t="s">
        <v>13</v>
      </c>
      <c r="D1650" s="263"/>
      <c r="E1650" s="98" t="s">
        <v>147</v>
      </c>
      <c r="F1650" s="15">
        <v>4</v>
      </c>
      <c r="G1650" s="35">
        <v>104</v>
      </c>
      <c r="H1650" s="78"/>
    </row>
    <row r="1651" spans="1:8" x14ac:dyDescent="0.25">
      <c r="A1651" s="283"/>
      <c r="B1651" s="268"/>
      <c r="C1651" s="25" t="s">
        <v>13</v>
      </c>
      <c r="D1651" s="263"/>
      <c r="E1651" s="98" t="s">
        <v>356</v>
      </c>
      <c r="F1651" s="15">
        <v>2</v>
      </c>
      <c r="G1651" s="35"/>
      <c r="H1651" s="78"/>
    </row>
    <row r="1652" spans="1:8" x14ac:dyDescent="0.25">
      <c r="A1652" s="283"/>
      <c r="B1652" s="268"/>
      <c r="C1652" s="25" t="s">
        <v>13</v>
      </c>
      <c r="D1652" s="263"/>
      <c r="E1652" s="98" t="s">
        <v>82</v>
      </c>
      <c r="F1652" s="15">
        <v>2</v>
      </c>
      <c r="G1652" s="35">
        <v>116</v>
      </c>
      <c r="H1652" s="78"/>
    </row>
    <row r="1653" spans="1:8" x14ac:dyDescent="0.25">
      <c r="A1653" s="283"/>
      <c r="B1653" s="268"/>
      <c r="C1653" s="25" t="s">
        <v>13</v>
      </c>
      <c r="D1653" s="264"/>
      <c r="E1653" s="98" t="s">
        <v>71</v>
      </c>
      <c r="F1653" s="15">
        <v>1.5</v>
      </c>
      <c r="G1653" s="35"/>
      <c r="H1653" s="78"/>
    </row>
    <row r="1654" spans="1:8" x14ac:dyDescent="0.25">
      <c r="A1654" s="283"/>
      <c r="B1654" s="268"/>
      <c r="C1654" s="25" t="s">
        <v>13</v>
      </c>
      <c r="D1654" s="248">
        <v>3</v>
      </c>
      <c r="E1654" s="98" t="s">
        <v>280</v>
      </c>
      <c r="F1654" s="15"/>
      <c r="G1654" s="35"/>
      <c r="H1654" s="78"/>
    </row>
    <row r="1655" spans="1:8" x14ac:dyDescent="0.25">
      <c r="A1655" s="284"/>
      <c r="B1655" s="269"/>
      <c r="C1655" s="25" t="s">
        <v>13</v>
      </c>
      <c r="D1655" s="248">
        <v>2</v>
      </c>
      <c r="E1655" s="98" t="s">
        <v>218</v>
      </c>
      <c r="F1655" s="15"/>
      <c r="G1655" s="35"/>
      <c r="H1655" s="78"/>
    </row>
    <row r="1656" spans="1:8" x14ac:dyDescent="0.25">
      <c r="A1656" s="285">
        <v>46168</v>
      </c>
      <c r="B1656" s="261" t="s">
        <v>5</v>
      </c>
      <c r="C1656" s="25" t="s">
        <v>13</v>
      </c>
      <c r="D1656" s="265">
        <v>8</v>
      </c>
      <c r="E1656" s="98" t="s">
        <v>459</v>
      </c>
      <c r="F1656" s="15"/>
      <c r="G1656" s="35">
        <v>117</v>
      </c>
      <c r="H1656" s="78" t="s">
        <v>358</v>
      </c>
    </row>
    <row r="1657" spans="1:8" x14ac:dyDescent="0.25">
      <c r="A1657" s="283"/>
      <c r="B1657" s="268"/>
      <c r="C1657" s="25" t="s">
        <v>13</v>
      </c>
      <c r="D1657" s="263"/>
      <c r="E1657" s="98" t="s">
        <v>459</v>
      </c>
      <c r="F1657" s="15"/>
      <c r="G1657" s="35">
        <v>117</v>
      </c>
      <c r="H1657" s="78" t="s">
        <v>359</v>
      </c>
    </row>
    <row r="1658" spans="1:8" x14ac:dyDescent="0.25">
      <c r="A1658" s="283"/>
      <c r="B1658" s="268"/>
      <c r="C1658" s="25" t="s">
        <v>13</v>
      </c>
      <c r="D1658" s="263"/>
      <c r="E1658" s="98" t="s">
        <v>305</v>
      </c>
      <c r="F1658" s="15">
        <v>1</v>
      </c>
      <c r="G1658" s="35">
        <v>117</v>
      </c>
      <c r="H1658" s="78" t="s">
        <v>358</v>
      </c>
    </row>
    <row r="1659" spans="1:8" x14ac:dyDescent="0.25">
      <c r="A1659" s="283"/>
      <c r="B1659" s="268"/>
      <c r="C1659" s="25" t="s">
        <v>13</v>
      </c>
      <c r="D1659" s="264"/>
      <c r="E1659" s="98" t="s">
        <v>290</v>
      </c>
      <c r="F1659" s="15">
        <v>1</v>
      </c>
      <c r="G1659" s="35">
        <v>117</v>
      </c>
      <c r="H1659" s="78" t="s">
        <v>359</v>
      </c>
    </row>
    <row r="1660" spans="1:8" x14ac:dyDescent="0.25">
      <c r="A1660" s="283"/>
      <c r="B1660" s="268"/>
      <c r="C1660" s="25" t="s">
        <v>13</v>
      </c>
      <c r="D1660" s="248">
        <v>3</v>
      </c>
      <c r="E1660" s="98" t="s">
        <v>256</v>
      </c>
      <c r="F1660" s="15"/>
      <c r="G1660" s="35"/>
      <c r="H1660" s="78"/>
    </row>
    <row r="1661" spans="1:8" x14ac:dyDescent="0.25">
      <c r="A1661" s="283"/>
      <c r="B1661" s="268"/>
      <c r="C1661" s="25" t="s">
        <v>13</v>
      </c>
      <c r="D1661" s="248">
        <v>3</v>
      </c>
      <c r="E1661" s="98" t="s">
        <v>206</v>
      </c>
      <c r="F1661" s="15">
        <v>24</v>
      </c>
      <c r="G1661" s="35" t="s">
        <v>165</v>
      </c>
      <c r="H1661" s="78"/>
    </row>
    <row r="1662" spans="1:8" x14ac:dyDescent="0.25">
      <c r="A1662" s="283"/>
      <c r="B1662" s="268"/>
      <c r="C1662" s="25" t="s">
        <v>6</v>
      </c>
      <c r="D1662" s="265">
        <v>4</v>
      </c>
      <c r="E1662" s="98" t="s">
        <v>90</v>
      </c>
      <c r="F1662" s="15">
        <v>36</v>
      </c>
      <c r="G1662" s="35">
        <v>116</v>
      </c>
      <c r="H1662" s="78"/>
    </row>
    <row r="1663" spans="1:8" x14ac:dyDescent="0.25">
      <c r="A1663" s="283"/>
      <c r="B1663" s="268"/>
      <c r="C1663" s="25" t="s">
        <v>6</v>
      </c>
      <c r="D1663" s="264"/>
      <c r="E1663" s="98" t="s">
        <v>456</v>
      </c>
      <c r="F1663" s="15">
        <v>37</v>
      </c>
      <c r="G1663" s="35">
        <v>116</v>
      </c>
      <c r="H1663" s="78"/>
    </row>
    <row r="1664" spans="1:8" x14ac:dyDescent="0.25">
      <c r="A1664" s="283"/>
      <c r="B1664" s="268"/>
      <c r="C1664" s="25" t="s">
        <v>6</v>
      </c>
      <c r="D1664" s="248">
        <v>2</v>
      </c>
      <c r="E1664" s="98" t="s">
        <v>329</v>
      </c>
      <c r="F1664" s="15"/>
      <c r="G1664" s="35">
        <v>112</v>
      </c>
      <c r="H1664" s="78" t="s">
        <v>360</v>
      </c>
    </row>
    <row r="1665" spans="1:8" x14ac:dyDescent="0.25">
      <c r="A1665" s="283"/>
      <c r="B1665" s="268"/>
      <c r="C1665" s="25" t="s">
        <v>6</v>
      </c>
      <c r="D1665" s="248">
        <v>2</v>
      </c>
      <c r="E1665" s="98" t="s">
        <v>329</v>
      </c>
      <c r="F1665" s="15"/>
      <c r="G1665" s="35">
        <v>117</v>
      </c>
      <c r="H1665" s="78" t="s">
        <v>361</v>
      </c>
    </row>
    <row r="1666" spans="1:8" ht="31.5" x14ac:dyDescent="0.25">
      <c r="A1666" s="283"/>
      <c r="B1666" s="268"/>
      <c r="C1666" s="25" t="s">
        <v>6</v>
      </c>
      <c r="D1666" s="248">
        <v>4</v>
      </c>
      <c r="E1666" s="98" t="s">
        <v>147</v>
      </c>
      <c r="F1666" s="15">
        <v>8</v>
      </c>
      <c r="G1666" s="35" t="s">
        <v>75</v>
      </c>
      <c r="H1666" s="78" t="s">
        <v>364</v>
      </c>
    </row>
    <row r="1667" spans="1:8" ht="31.5" x14ac:dyDescent="0.25">
      <c r="A1667" s="283"/>
      <c r="B1667" s="268"/>
      <c r="C1667" s="25" t="s">
        <v>6</v>
      </c>
      <c r="D1667" s="265">
        <v>5</v>
      </c>
      <c r="E1667" s="98" t="s">
        <v>346</v>
      </c>
      <c r="F1667" s="15"/>
      <c r="G1667" s="35" t="s">
        <v>75</v>
      </c>
      <c r="H1667" s="78" t="s">
        <v>362</v>
      </c>
    </row>
    <row r="1668" spans="1:8" x14ac:dyDescent="0.25">
      <c r="A1668" s="283"/>
      <c r="B1668" s="268"/>
      <c r="C1668" s="25" t="s">
        <v>6</v>
      </c>
      <c r="D1668" s="264"/>
      <c r="E1668" s="98" t="s">
        <v>26</v>
      </c>
      <c r="F1668" s="15">
        <v>8</v>
      </c>
      <c r="G1668" s="35"/>
      <c r="H1668" s="78"/>
    </row>
    <row r="1669" spans="1:8" x14ac:dyDescent="0.25">
      <c r="A1669" s="283"/>
      <c r="B1669" s="268"/>
      <c r="C1669" s="25" t="s">
        <v>6</v>
      </c>
      <c r="D1669" s="248">
        <v>3</v>
      </c>
      <c r="E1669" s="98" t="s">
        <v>90</v>
      </c>
      <c r="F1669" s="15">
        <v>30</v>
      </c>
      <c r="G1669" s="35">
        <v>116</v>
      </c>
      <c r="H1669" s="78"/>
    </row>
    <row r="1670" spans="1:8" ht="31.5" x14ac:dyDescent="0.25">
      <c r="A1670" s="283"/>
      <c r="B1670" s="268"/>
      <c r="C1670" s="25" t="s">
        <v>6</v>
      </c>
      <c r="D1670" s="248"/>
      <c r="E1670" s="98" t="s">
        <v>280</v>
      </c>
      <c r="F1670" s="15"/>
      <c r="G1670" s="35"/>
      <c r="H1670" s="78" t="s">
        <v>363</v>
      </c>
    </row>
    <row r="1671" spans="1:8" x14ac:dyDescent="0.25">
      <c r="A1671" s="283"/>
      <c r="B1671" s="268"/>
      <c r="C1671" s="25" t="s">
        <v>13</v>
      </c>
      <c r="D1671" s="248">
        <v>3</v>
      </c>
      <c r="E1671" s="98" t="s">
        <v>280</v>
      </c>
      <c r="F1671" s="15"/>
      <c r="G1671" s="35"/>
      <c r="H1671" s="78" t="s">
        <v>289</v>
      </c>
    </row>
    <row r="1672" spans="1:8" ht="16.5" thickBot="1" x14ac:dyDescent="0.3">
      <c r="A1672" s="283"/>
      <c r="B1672" s="268"/>
      <c r="C1672" s="24" t="s">
        <v>13</v>
      </c>
      <c r="D1672" s="245">
        <v>2</v>
      </c>
      <c r="E1672" s="123" t="s">
        <v>229</v>
      </c>
      <c r="F1672" s="141"/>
      <c r="G1672" s="67"/>
      <c r="H1672" s="88"/>
    </row>
    <row r="1673" spans="1:8" x14ac:dyDescent="0.25">
      <c r="A1673" s="256">
        <v>46169</v>
      </c>
      <c r="B1673" s="259" t="s">
        <v>36</v>
      </c>
      <c r="C1673" s="74" t="s">
        <v>6</v>
      </c>
      <c r="D1673" s="266">
        <v>5</v>
      </c>
      <c r="E1673" s="165" t="s">
        <v>90</v>
      </c>
      <c r="F1673" s="75">
        <v>31</v>
      </c>
      <c r="G1673" s="90">
        <v>116</v>
      </c>
      <c r="H1673" s="77" t="s">
        <v>125</v>
      </c>
    </row>
    <row r="1674" spans="1:8" x14ac:dyDescent="0.25">
      <c r="A1674" s="257"/>
      <c r="B1674" s="260"/>
      <c r="C1674" s="25" t="s">
        <v>6</v>
      </c>
      <c r="D1674" s="255"/>
      <c r="E1674" s="98" t="s">
        <v>280</v>
      </c>
      <c r="F1674" s="15"/>
      <c r="G1674" s="89">
        <v>116</v>
      </c>
      <c r="H1674" s="78" t="s">
        <v>289</v>
      </c>
    </row>
    <row r="1675" spans="1:8" x14ac:dyDescent="0.25">
      <c r="A1675" s="257"/>
      <c r="B1675" s="260"/>
      <c r="C1675" s="25" t="s">
        <v>13</v>
      </c>
      <c r="D1675" s="248">
        <v>5</v>
      </c>
      <c r="E1675" s="98" t="s">
        <v>217</v>
      </c>
      <c r="F1675" s="15">
        <v>165</v>
      </c>
      <c r="G1675" s="89">
        <v>103</v>
      </c>
      <c r="H1675" s="78" t="s">
        <v>125</v>
      </c>
    </row>
    <row r="1676" spans="1:8" x14ac:dyDescent="0.25">
      <c r="A1676" s="257"/>
      <c r="B1676" s="260"/>
      <c r="C1676" s="25" t="s">
        <v>13</v>
      </c>
      <c r="D1676" s="248">
        <v>5</v>
      </c>
      <c r="E1676" s="98" t="s">
        <v>217</v>
      </c>
      <c r="F1676" s="15">
        <v>87</v>
      </c>
      <c r="G1676" s="89">
        <v>102</v>
      </c>
      <c r="H1676" s="78" t="s">
        <v>125</v>
      </c>
    </row>
    <row r="1677" spans="1:8" x14ac:dyDescent="0.25">
      <c r="A1677" s="257"/>
      <c r="B1677" s="260"/>
      <c r="C1677" s="25" t="s">
        <v>13</v>
      </c>
      <c r="D1677" s="248">
        <v>5</v>
      </c>
      <c r="E1677" s="98" t="s">
        <v>217</v>
      </c>
      <c r="F1677" s="15">
        <v>78</v>
      </c>
      <c r="G1677" s="89">
        <v>104</v>
      </c>
      <c r="H1677" s="78" t="s">
        <v>125</v>
      </c>
    </row>
    <row r="1678" spans="1:8" x14ac:dyDescent="0.25">
      <c r="A1678" s="257"/>
      <c r="B1678" s="260"/>
      <c r="C1678" s="25" t="s">
        <v>13</v>
      </c>
      <c r="D1678" s="255">
        <v>3</v>
      </c>
      <c r="E1678" s="98" t="s">
        <v>356</v>
      </c>
      <c r="F1678" s="15">
        <v>1</v>
      </c>
      <c r="G1678" s="89">
        <v>110</v>
      </c>
      <c r="H1678" s="78"/>
    </row>
    <row r="1679" spans="1:8" x14ac:dyDescent="0.25">
      <c r="A1679" s="257"/>
      <c r="B1679" s="260"/>
      <c r="C1679" s="25" t="s">
        <v>13</v>
      </c>
      <c r="D1679" s="255"/>
      <c r="E1679" s="98" t="s">
        <v>147</v>
      </c>
      <c r="F1679" s="15">
        <v>2</v>
      </c>
      <c r="G1679" s="89">
        <v>110</v>
      </c>
      <c r="H1679" s="78"/>
    </row>
    <row r="1680" spans="1:8" x14ac:dyDescent="0.25">
      <c r="A1680" s="257"/>
      <c r="B1680" s="260"/>
      <c r="C1680" s="25" t="s">
        <v>13</v>
      </c>
      <c r="D1680" s="248">
        <v>1</v>
      </c>
      <c r="E1680" s="98" t="s">
        <v>218</v>
      </c>
      <c r="F1680" s="15"/>
      <c r="G1680" s="89"/>
      <c r="H1680" s="78"/>
    </row>
    <row r="1681" spans="1:8" x14ac:dyDescent="0.25">
      <c r="A1681" s="257">
        <v>46169</v>
      </c>
      <c r="B1681" s="260" t="s">
        <v>5</v>
      </c>
      <c r="C1681" s="25" t="s">
        <v>6</v>
      </c>
      <c r="D1681" s="248">
        <v>6</v>
      </c>
      <c r="E1681" s="98" t="s">
        <v>260</v>
      </c>
      <c r="F1681" s="15">
        <v>60</v>
      </c>
      <c r="G1681" s="89" t="s">
        <v>165</v>
      </c>
      <c r="H1681" s="78"/>
    </row>
    <row r="1682" spans="1:8" x14ac:dyDescent="0.25">
      <c r="A1682" s="257"/>
      <c r="B1682" s="260"/>
      <c r="C1682" s="25" t="s">
        <v>6</v>
      </c>
      <c r="D1682" s="255">
        <v>4</v>
      </c>
      <c r="E1682" s="98" t="s">
        <v>329</v>
      </c>
      <c r="F1682" s="15"/>
      <c r="G1682" s="89">
        <v>117</v>
      </c>
      <c r="H1682" s="78" t="s">
        <v>365</v>
      </c>
    </row>
    <row r="1683" spans="1:8" x14ac:dyDescent="0.25">
      <c r="A1683" s="257"/>
      <c r="B1683" s="260"/>
      <c r="C1683" s="25" t="s">
        <v>6</v>
      </c>
      <c r="D1683" s="255"/>
      <c r="E1683" s="98" t="s">
        <v>329</v>
      </c>
      <c r="F1683" s="15"/>
      <c r="G1683" s="89">
        <v>112</v>
      </c>
      <c r="H1683" s="78" t="s">
        <v>366</v>
      </c>
    </row>
    <row r="1684" spans="1:8" x14ac:dyDescent="0.25">
      <c r="A1684" s="257"/>
      <c r="B1684" s="260"/>
      <c r="C1684" s="25" t="s">
        <v>6</v>
      </c>
      <c r="D1684" s="255">
        <v>4</v>
      </c>
      <c r="E1684" s="98" t="s">
        <v>90</v>
      </c>
      <c r="F1684" s="15">
        <v>25</v>
      </c>
      <c r="G1684" s="89">
        <v>116</v>
      </c>
      <c r="H1684" s="78"/>
    </row>
    <row r="1685" spans="1:8" x14ac:dyDescent="0.25">
      <c r="A1685" s="257"/>
      <c r="B1685" s="260"/>
      <c r="C1685" s="25" t="s">
        <v>6</v>
      </c>
      <c r="D1685" s="255"/>
      <c r="E1685" s="98" t="s">
        <v>456</v>
      </c>
      <c r="F1685" s="15">
        <v>10</v>
      </c>
      <c r="G1685" s="89">
        <v>116</v>
      </c>
      <c r="H1685" s="78"/>
    </row>
    <row r="1686" spans="1:8" x14ac:dyDescent="0.25">
      <c r="A1686" s="257"/>
      <c r="B1686" s="260"/>
      <c r="C1686" s="25" t="s">
        <v>6</v>
      </c>
      <c r="D1686" s="255">
        <v>4</v>
      </c>
      <c r="E1686" s="98" t="s">
        <v>201</v>
      </c>
      <c r="F1686" s="15">
        <v>27</v>
      </c>
      <c r="G1686" s="89" t="s">
        <v>273</v>
      </c>
      <c r="H1686" s="78"/>
    </row>
    <row r="1687" spans="1:8" x14ac:dyDescent="0.25">
      <c r="A1687" s="257"/>
      <c r="B1687" s="260"/>
      <c r="C1687" s="25" t="s">
        <v>6</v>
      </c>
      <c r="D1687" s="255"/>
      <c r="E1687" s="98" t="s">
        <v>201</v>
      </c>
      <c r="F1687" s="15">
        <v>19</v>
      </c>
      <c r="G1687" s="89" t="s">
        <v>154</v>
      </c>
      <c r="H1687" s="78"/>
    </row>
    <row r="1688" spans="1:8" x14ac:dyDescent="0.25">
      <c r="A1688" s="257"/>
      <c r="B1688" s="260"/>
      <c r="C1688" s="25" t="s">
        <v>6</v>
      </c>
      <c r="D1688" s="248">
        <v>4</v>
      </c>
      <c r="E1688" s="98" t="s">
        <v>90</v>
      </c>
      <c r="F1688" s="15">
        <v>15</v>
      </c>
      <c r="G1688" s="89">
        <v>116</v>
      </c>
      <c r="H1688" s="78"/>
    </row>
    <row r="1689" spans="1:8" x14ac:dyDescent="0.25">
      <c r="A1689" s="257"/>
      <c r="B1689" s="260"/>
      <c r="C1689" s="25" t="s">
        <v>6</v>
      </c>
      <c r="D1689" s="255">
        <v>4</v>
      </c>
      <c r="E1689" s="98" t="s">
        <v>26</v>
      </c>
      <c r="F1689" s="15">
        <v>30</v>
      </c>
      <c r="G1689" s="89" t="s">
        <v>75</v>
      </c>
      <c r="H1689" s="78"/>
    </row>
    <row r="1690" spans="1:8" x14ac:dyDescent="0.25">
      <c r="A1690" s="257"/>
      <c r="B1690" s="260"/>
      <c r="C1690" s="25" t="s">
        <v>6</v>
      </c>
      <c r="D1690" s="255"/>
      <c r="E1690" s="98" t="s">
        <v>346</v>
      </c>
      <c r="F1690" s="15"/>
      <c r="G1690" s="89" t="s">
        <v>40</v>
      </c>
      <c r="H1690" s="78" t="s">
        <v>367</v>
      </c>
    </row>
    <row r="1691" spans="1:8" x14ac:dyDescent="0.25">
      <c r="A1691" s="257"/>
      <c r="B1691" s="260"/>
      <c r="C1691" s="25" t="s">
        <v>13</v>
      </c>
      <c r="D1691" s="248">
        <v>5</v>
      </c>
      <c r="E1691" s="98" t="s">
        <v>256</v>
      </c>
      <c r="F1691" s="15"/>
      <c r="G1691" s="89"/>
      <c r="H1691" s="78"/>
    </row>
    <row r="1692" spans="1:8" x14ac:dyDescent="0.25">
      <c r="A1692" s="257"/>
      <c r="B1692" s="260"/>
      <c r="C1692" s="25" t="s">
        <v>6</v>
      </c>
      <c r="D1692" s="248">
        <v>3</v>
      </c>
      <c r="E1692" s="98" t="s">
        <v>280</v>
      </c>
      <c r="F1692" s="15"/>
      <c r="G1692" s="89"/>
      <c r="H1692" s="78" t="s">
        <v>289</v>
      </c>
    </row>
    <row r="1693" spans="1:8" x14ac:dyDescent="0.25">
      <c r="A1693" s="257"/>
      <c r="B1693" s="260"/>
      <c r="C1693" s="25" t="s">
        <v>6</v>
      </c>
      <c r="D1693" s="255">
        <v>3</v>
      </c>
      <c r="E1693" s="98" t="s">
        <v>90</v>
      </c>
      <c r="F1693" s="15">
        <v>15</v>
      </c>
      <c r="G1693" s="89">
        <v>113</v>
      </c>
      <c r="H1693" s="78"/>
    </row>
    <row r="1694" spans="1:8" x14ac:dyDescent="0.25">
      <c r="A1694" s="257"/>
      <c r="B1694" s="260"/>
      <c r="C1694" s="25" t="s">
        <v>6</v>
      </c>
      <c r="D1694" s="255"/>
      <c r="E1694" s="98" t="s">
        <v>456</v>
      </c>
      <c r="F1694" s="15">
        <v>15</v>
      </c>
      <c r="G1694" s="89">
        <v>113</v>
      </c>
      <c r="H1694" s="78"/>
    </row>
    <row r="1695" spans="1:8" ht="31.5" x14ac:dyDescent="0.25">
      <c r="A1695" s="257"/>
      <c r="B1695" s="260"/>
      <c r="C1695" s="25" t="s">
        <v>13</v>
      </c>
      <c r="D1695" s="248">
        <v>6</v>
      </c>
      <c r="E1695" s="98" t="s">
        <v>305</v>
      </c>
      <c r="F1695" s="15">
        <v>0</v>
      </c>
      <c r="G1695" s="89">
        <v>117</v>
      </c>
      <c r="H1695" s="78" t="s">
        <v>368</v>
      </c>
    </row>
    <row r="1696" spans="1:8" ht="16.5" thickBot="1" x14ac:dyDescent="0.3">
      <c r="A1696" s="274"/>
      <c r="B1696" s="276"/>
      <c r="C1696" s="51" t="s">
        <v>13</v>
      </c>
      <c r="D1696" s="91">
        <v>2</v>
      </c>
      <c r="E1696" s="159" t="s">
        <v>229</v>
      </c>
      <c r="F1696" s="50"/>
      <c r="G1696" s="128"/>
      <c r="H1696" s="79"/>
    </row>
    <row r="1697" spans="1:8" ht="16.5" thickBot="1" x14ac:dyDescent="0.3">
      <c r="A1697" s="282">
        <v>46170</v>
      </c>
      <c r="B1697" s="279" t="s">
        <v>36</v>
      </c>
      <c r="C1697" s="74" t="s">
        <v>13</v>
      </c>
      <c r="D1697" s="262">
        <v>7</v>
      </c>
      <c r="E1697" s="165" t="s">
        <v>147</v>
      </c>
      <c r="F1697" s="75">
        <v>4</v>
      </c>
      <c r="G1697" s="76">
        <v>104</v>
      </c>
      <c r="H1697" s="77" t="s">
        <v>125</v>
      </c>
    </row>
    <row r="1698" spans="1:8" x14ac:dyDescent="0.25">
      <c r="A1698" s="283"/>
      <c r="B1698" s="280"/>
      <c r="C1698" s="23" t="s">
        <v>13</v>
      </c>
      <c r="D1698" s="263"/>
      <c r="E1698" s="98" t="s">
        <v>217</v>
      </c>
      <c r="F1698" s="15">
        <v>81</v>
      </c>
      <c r="G1698" s="76">
        <v>104</v>
      </c>
      <c r="H1698" s="78"/>
    </row>
    <row r="1699" spans="1:8" x14ac:dyDescent="0.25">
      <c r="A1699" s="283"/>
      <c r="B1699" s="280"/>
      <c r="C1699" s="23" t="s">
        <v>13</v>
      </c>
      <c r="D1699" s="264"/>
      <c r="E1699" s="98" t="s">
        <v>212</v>
      </c>
      <c r="F1699" s="15">
        <v>34</v>
      </c>
      <c r="G1699" s="35">
        <v>116</v>
      </c>
      <c r="H1699" s="78"/>
    </row>
    <row r="1700" spans="1:8" x14ac:dyDescent="0.25">
      <c r="A1700" s="283"/>
      <c r="B1700" s="280"/>
      <c r="C1700" s="25" t="s">
        <v>13</v>
      </c>
      <c r="D1700" s="265">
        <v>9</v>
      </c>
      <c r="E1700" s="98" t="s">
        <v>26</v>
      </c>
      <c r="F1700" s="15">
        <v>112</v>
      </c>
      <c r="G1700" s="35" t="s">
        <v>40</v>
      </c>
      <c r="H1700" s="78"/>
    </row>
    <row r="1701" spans="1:8" x14ac:dyDescent="0.25">
      <c r="A1701" s="283"/>
      <c r="B1701" s="280"/>
      <c r="C1701" s="25" t="s">
        <v>13</v>
      </c>
      <c r="D1701" s="264"/>
      <c r="E1701" s="98" t="s">
        <v>271</v>
      </c>
      <c r="F1701" s="15">
        <v>152</v>
      </c>
      <c r="G1701" s="35" t="s">
        <v>40</v>
      </c>
      <c r="H1701" s="78"/>
    </row>
    <row r="1702" spans="1:8" x14ac:dyDescent="0.25">
      <c r="A1702" s="283"/>
      <c r="B1702" s="280"/>
      <c r="C1702" s="25" t="s">
        <v>6</v>
      </c>
      <c r="D1702" s="265">
        <v>2</v>
      </c>
      <c r="E1702" s="98" t="s">
        <v>79</v>
      </c>
      <c r="F1702" s="15">
        <v>2</v>
      </c>
      <c r="G1702" s="35">
        <v>116</v>
      </c>
      <c r="H1702" s="78" t="s">
        <v>369</v>
      </c>
    </row>
    <row r="1703" spans="1:8" x14ac:dyDescent="0.25">
      <c r="A1703" s="283"/>
      <c r="B1703" s="280"/>
      <c r="C1703" s="25" t="s">
        <v>6</v>
      </c>
      <c r="D1703" s="264"/>
      <c r="E1703" s="98" t="s">
        <v>356</v>
      </c>
      <c r="F1703" s="15">
        <v>16</v>
      </c>
      <c r="G1703" s="35">
        <v>116</v>
      </c>
      <c r="H1703" s="78"/>
    </row>
    <row r="1704" spans="1:8" ht="31.5" x14ac:dyDescent="0.25">
      <c r="A1704" s="283"/>
      <c r="B1704" s="280"/>
      <c r="C1704" s="25" t="s">
        <v>6</v>
      </c>
      <c r="D1704" s="265">
        <v>2</v>
      </c>
      <c r="E1704" s="98" t="s">
        <v>280</v>
      </c>
      <c r="F1704" s="15"/>
      <c r="G1704" s="35">
        <v>116</v>
      </c>
      <c r="H1704" s="78" t="s">
        <v>375</v>
      </c>
    </row>
    <row r="1705" spans="1:8" x14ac:dyDescent="0.25">
      <c r="A1705" s="283"/>
      <c r="B1705" s="280"/>
      <c r="C1705" s="25" t="s">
        <v>6</v>
      </c>
      <c r="D1705" s="264"/>
      <c r="E1705" s="98" t="s">
        <v>26</v>
      </c>
      <c r="F1705" s="15">
        <v>4</v>
      </c>
      <c r="G1705" s="35">
        <v>116</v>
      </c>
      <c r="H1705" s="78"/>
    </row>
    <row r="1706" spans="1:8" x14ac:dyDescent="0.25">
      <c r="A1706" s="284"/>
      <c r="B1706" s="281"/>
      <c r="C1706" s="25" t="s">
        <v>6</v>
      </c>
      <c r="D1706" s="248">
        <v>2</v>
      </c>
      <c r="E1706" s="98" t="s">
        <v>218</v>
      </c>
      <c r="F1706" s="15"/>
      <c r="G1706" s="35">
        <v>116</v>
      </c>
      <c r="H1706" s="78"/>
    </row>
    <row r="1707" spans="1:8" x14ac:dyDescent="0.25">
      <c r="A1707" s="258">
        <v>46170</v>
      </c>
      <c r="B1707" s="261" t="s">
        <v>5</v>
      </c>
      <c r="C1707" s="25" t="s">
        <v>6</v>
      </c>
      <c r="D1707" s="265">
        <v>4</v>
      </c>
      <c r="E1707" s="98" t="s">
        <v>356</v>
      </c>
      <c r="F1707" s="15"/>
      <c r="G1707" s="35">
        <v>116</v>
      </c>
      <c r="H1707" s="78"/>
    </row>
    <row r="1708" spans="1:8" x14ac:dyDescent="0.25">
      <c r="A1708" s="271"/>
      <c r="B1708" s="268"/>
      <c r="C1708" s="25" t="s">
        <v>6</v>
      </c>
      <c r="D1708" s="263"/>
      <c r="E1708" s="98" t="s">
        <v>90</v>
      </c>
      <c r="F1708" s="15">
        <v>15</v>
      </c>
      <c r="G1708" s="35">
        <v>116</v>
      </c>
      <c r="H1708" s="78"/>
    </row>
    <row r="1709" spans="1:8" x14ac:dyDescent="0.25">
      <c r="A1709" s="271"/>
      <c r="B1709" s="268"/>
      <c r="C1709" s="25" t="s">
        <v>6</v>
      </c>
      <c r="D1709" s="264"/>
      <c r="E1709" s="98" t="s">
        <v>280</v>
      </c>
      <c r="F1709" s="15"/>
      <c r="G1709" s="35">
        <v>116</v>
      </c>
      <c r="H1709" s="78" t="s">
        <v>370</v>
      </c>
    </row>
    <row r="1710" spans="1:8" x14ac:dyDescent="0.25">
      <c r="A1710" s="271"/>
      <c r="B1710" s="268"/>
      <c r="C1710" s="25" t="s">
        <v>6</v>
      </c>
      <c r="D1710" s="248">
        <v>6</v>
      </c>
      <c r="E1710" s="98" t="s">
        <v>260</v>
      </c>
      <c r="F1710" s="15">
        <v>60</v>
      </c>
      <c r="G1710" s="35" t="s">
        <v>165</v>
      </c>
      <c r="H1710" s="78"/>
    </row>
    <row r="1711" spans="1:8" x14ac:dyDescent="0.25">
      <c r="A1711" s="271"/>
      <c r="B1711" s="268"/>
      <c r="C1711" s="25" t="s">
        <v>6</v>
      </c>
      <c r="D1711" s="265">
        <v>2</v>
      </c>
      <c r="E1711" s="98" t="s">
        <v>329</v>
      </c>
      <c r="F1711" s="15"/>
      <c r="G1711" s="35">
        <v>117</v>
      </c>
      <c r="H1711" s="78" t="s">
        <v>371</v>
      </c>
    </row>
    <row r="1712" spans="1:8" x14ac:dyDescent="0.25">
      <c r="A1712" s="271"/>
      <c r="B1712" s="268"/>
      <c r="C1712" s="25" t="s">
        <v>13</v>
      </c>
      <c r="D1712" s="264"/>
      <c r="E1712" s="98" t="s">
        <v>523</v>
      </c>
      <c r="F1712" s="15"/>
      <c r="G1712" s="35">
        <v>117</v>
      </c>
      <c r="H1712" s="78" t="s">
        <v>372</v>
      </c>
    </row>
    <row r="1713" spans="1:8" x14ac:dyDescent="0.25">
      <c r="A1713" s="271"/>
      <c r="B1713" s="268"/>
      <c r="C1713" s="25" t="s">
        <v>6</v>
      </c>
      <c r="D1713" s="265">
        <v>2</v>
      </c>
      <c r="E1713" s="98" t="s">
        <v>329</v>
      </c>
      <c r="F1713" s="15"/>
      <c r="G1713" s="35">
        <v>112</v>
      </c>
      <c r="H1713" s="78" t="s">
        <v>373</v>
      </c>
    </row>
    <row r="1714" spans="1:8" x14ac:dyDescent="0.25">
      <c r="A1714" s="271"/>
      <c r="B1714" s="268"/>
      <c r="C1714" s="25" t="s">
        <v>6</v>
      </c>
      <c r="D1714" s="264"/>
      <c r="E1714" s="98" t="s">
        <v>523</v>
      </c>
      <c r="F1714" s="15"/>
      <c r="G1714" s="35">
        <v>112</v>
      </c>
      <c r="H1714" s="78" t="s">
        <v>374</v>
      </c>
    </row>
    <row r="1715" spans="1:8" x14ac:dyDescent="0.25">
      <c r="A1715" s="271"/>
      <c r="B1715" s="268"/>
      <c r="C1715" s="25" t="s">
        <v>6</v>
      </c>
      <c r="D1715" s="265">
        <v>4</v>
      </c>
      <c r="E1715" s="98" t="s">
        <v>90</v>
      </c>
      <c r="F1715" s="15">
        <v>30</v>
      </c>
      <c r="G1715" s="35">
        <v>113</v>
      </c>
      <c r="H1715" s="78"/>
    </row>
    <row r="1716" spans="1:8" x14ac:dyDescent="0.25">
      <c r="A1716" s="271"/>
      <c r="B1716" s="268"/>
      <c r="C1716" s="25" t="s">
        <v>6</v>
      </c>
      <c r="D1716" s="264"/>
      <c r="E1716" s="98" t="s">
        <v>456</v>
      </c>
      <c r="F1716" s="15">
        <v>75</v>
      </c>
      <c r="G1716" s="35">
        <v>113</v>
      </c>
      <c r="H1716" s="78"/>
    </row>
    <row r="1717" spans="1:8" x14ac:dyDescent="0.25">
      <c r="A1717" s="271"/>
      <c r="B1717" s="268"/>
      <c r="C1717" s="25" t="s">
        <v>13</v>
      </c>
      <c r="D1717" s="248">
        <v>3</v>
      </c>
      <c r="E1717" s="98" t="s">
        <v>256</v>
      </c>
      <c r="F1717" s="15"/>
      <c r="G1717" s="35"/>
      <c r="H1717" s="78"/>
    </row>
    <row r="1718" spans="1:8" ht="31.5" x14ac:dyDescent="0.25">
      <c r="A1718" s="271"/>
      <c r="B1718" s="268"/>
      <c r="C1718" s="25" t="s">
        <v>13</v>
      </c>
      <c r="D1718" s="248">
        <v>3</v>
      </c>
      <c r="E1718" s="98" t="s">
        <v>280</v>
      </c>
      <c r="F1718" s="15"/>
      <c r="G1718" s="35"/>
      <c r="H1718" s="78" t="s">
        <v>375</v>
      </c>
    </row>
    <row r="1719" spans="1:8" x14ac:dyDescent="0.25">
      <c r="A1719" s="271"/>
      <c r="B1719" s="268"/>
      <c r="C1719" s="25" t="s">
        <v>6</v>
      </c>
      <c r="D1719" s="265">
        <v>4</v>
      </c>
      <c r="E1719" s="98" t="s">
        <v>346</v>
      </c>
      <c r="F1719" s="15">
        <v>30</v>
      </c>
      <c r="G1719" s="35" t="s">
        <v>40</v>
      </c>
      <c r="H1719" s="78" t="s">
        <v>376</v>
      </c>
    </row>
    <row r="1720" spans="1:8" x14ac:dyDescent="0.25">
      <c r="A1720" s="271"/>
      <c r="B1720" s="268"/>
      <c r="C1720" s="25" t="s">
        <v>6</v>
      </c>
      <c r="D1720" s="264"/>
      <c r="E1720" s="98" t="s">
        <v>377</v>
      </c>
      <c r="F1720" s="15">
        <v>4</v>
      </c>
      <c r="G1720" s="35" t="s">
        <v>75</v>
      </c>
      <c r="H1720" s="78" t="s">
        <v>378</v>
      </c>
    </row>
    <row r="1721" spans="1:8" x14ac:dyDescent="0.25">
      <c r="A1721" s="271"/>
      <c r="B1721" s="268"/>
      <c r="C1721" s="25" t="s">
        <v>6</v>
      </c>
      <c r="D1721" s="265">
        <v>5</v>
      </c>
      <c r="E1721" s="98" t="s">
        <v>78</v>
      </c>
      <c r="F1721" s="15">
        <v>5</v>
      </c>
      <c r="G1721" s="35">
        <v>111</v>
      </c>
      <c r="H1721" s="78"/>
    </row>
    <row r="1722" spans="1:8" x14ac:dyDescent="0.25">
      <c r="A1722" s="271"/>
      <c r="B1722" s="268"/>
      <c r="C1722" s="25" t="s">
        <v>6</v>
      </c>
      <c r="D1722" s="263"/>
      <c r="E1722" s="98" t="s">
        <v>112</v>
      </c>
      <c r="F1722" s="15">
        <v>8</v>
      </c>
      <c r="G1722" s="35">
        <v>111</v>
      </c>
      <c r="H1722" s="78"/>
    </row>
    <row r="1723" spans="1:8" x14ac:dyDescent="0.25">
      <c r="A1723" s="271"/>
      <c r="B1723" s="268"/>
      <c r="C1723" s="25" t="s">
        <v>6</v>
      </c>
      <c r="D1723" s="263"/>
      <c r="E1723" s="98" t="s">
        <v>345</v>
      </c>
      <c r="F1723" s="15">
        <v>40</v>
      </c>
      <c r="G1723" s="35">
        <v>111</v>
      </c>
      <c r="H1723" s="78"/>
    </row>
    <row r="1724" spans="1:8" x14ac:dyDescent="0.25">
      <c r="A1724" s="271"/>
      <c r="B1724" s="268"/>
      <c r="C1724" s="25" t="s">
        <v>6</v>
      </c>
      <c r="D1724" s="264"/>
      <c r="E1724" s="98" t="s">
        <v>346</v>
      </c>
      <c r="F1724" s="15"/>
      <c r="G1724" s="35">
        <v>111</v>
      </c>
      <c r="H1724" s="78"/>
    </row>
    <row r="1725" spans="1:8" x14ac:dyDescent="0.25">
      <c r="A1725" s="271"/>
      <c r="B1725" s="268"/>
      <c r="C1725" s="25" t="s">
        <v>13</v>
      </c>
      <c r="D1725" s="265">
        <v>4</v>
      </c>
      <c r="E1725" s="98" t="s">
        <v>206</v>
      </c>
      <c r="F1725" s="15">
        <v>24</v>
      </c>
      <c r="G1725" s="35" t="s">
        <v>165</v>
      </c>
      <c r="H1725" s="78"/>
    </row>
    <row r="1726" spans="1:8" x14ac:dyDescent="0.25">
      <c r="A1726" s="271"/>
      <c r="B1726" s="268"/>
      <c r="C1726" s="25" t="s">
        <v>13</v>
      </c>
      <c r="D1726" s="264"/>
      <c r="E1726" s="98" t="s">
        <v>346</v>
      </c>
      <c r="F1726" s="15">
        <v>30</v>
      </c>
      <c r="G1726" s="35" t="s">
        <v>165</v>
      </c>
      <c r="H1726" s="78" t="s">
        <v>379</v>
      </c>
    </row>
    <row r="1727" spans="1:8" ht="16.5" thickBot="1" x14ac:dyDescent="0.3">
      <c r="A1727" s="275"/>
      <c r="B1727" s="273"/>
      <c r="C1727" s="51" t="s">
        <v>13</v>
      </c>
      <c r="D1727" s="91">
        <v>3</v>
      </c>
      <c r="E1727" s="159" t="s">
        <v>229</v>
      </c>
      <c r="F1727" s="50"/>
      <c r="G1727" s="71"/>
      <c r="H1727" s="79"/>
    </row>
    <row r="1728" spans="1:8" x14ac:dyDescent="0.25">
      <c r="A1728" s="256">
        <v>46171</v>
      </c>
      <c r="B1728" s="259" t="s">
        <v>36</v>
      </c>
      <c r="C1728" s="74" t="s">
        <v>6</v>
      </c>
      <c r="D1728" s="266">
        <v>6</v>
      </c>
      <c r="E1728" s="165" t="s">
        <v>90</v>
      </c>
      <c r="F1728" s="75">
        <v>18</v>
      </c>
      <c r="G1728" s="90" t="s">
        <v>75</v>
      </c>
      <c r="H1728" s="77"/>
    </row>
    <row r="1729" spans="1:8" ht="31.5" x14ac:dyDescent="0.25">
      <c r="A1729" s="257"/>
      <c r="B1729" s="260"/>
      <c r="C1729" s="25" t="s">
        <v>6</v>
      </c>
      <c r="D1729" s="255"/>
      <c r="E1729" s="98" t="s">
        <v>280</v>
      </c>
      <c r="F1729" s="15"/>
      <c r="G1729" s="149" t="s">
        <v>75</v>
      </c>
      <c r="H1729" s="78" t="s">
        <v>375</v>
      </c>
    </row>
    <row r="1730" spans="1:8" x14ac:dyDescent="0.25">
      <c r="A1730" s="257"/>
      <c r="B1730" s="260"/>
      <c r="C1730" s="25" t="s">
        <v>13</v>
      </c>
      <c r="D1730" s="255">
        <v>4</v>
      </c>
      <c r="E1730" s="98" t="s">
        <v>271</v>
      </c>
      <c r="F1730" s="15">
        <v>50</v>
      </c>
      <c r="G1730" s="89" t="s">
        <v>40</v>
      </c>
      <c r="H1730" s="78" t="s">
        <v>125</v>
      </c>
    </row>
    <row r="1731" spans="1:8" x14ac:dyDescent="0.25">
      <c r="A1731" s="257"/>
      <c r="B1731" s="260"/>
      <c r="C1731" s="25" t="s">
        <v>13</v>
      </c>
      <c r="D1731" s="255"/>
      <c r="E1731" s="98" t="s">
        <v>26</v>
      </c>
      <c r="F1731" s="15">
        <v>50</v>
      </c>
      <c r="G1731" s="89" t="s">
        <v>40</v>
      </c>
      <c r="H1731" s="78"/>
    </row>
    <row r="1732" spans="1:8" x14ac:dyDescent="0.25">
      <c r="A1732" s="257"/>
      <c r="B1732" s="260"/>
      <c r="C1732" s="25" t="s">
        <v>13</v>
      </c>
      <c r="D1732" s="255">
        <v>4</v>
      </c>
      <c r="E1732" s="98" t="s">
        <v>93</v>
      </c>
      <c r="F1732" s="15">
        <v>10</v>
      </c>
      <c r="G1732" s="89" t="s">
        <v>40</v>
      </c>
      <c r="H1732" s="78"/>
    </row>
    <row r="1733" spans="1:8" x14ac:dyDescent="0.25">
      <c r="A1733" s="257"/>
      <c r="B1733" s="260"/>
      <c r="C1733" s="25" t="s">
        <v>13</v>
      </c>
      <c r="D1733" s="255"/>
      <c r="E1733" s="98" t="s">
        <v>93</v>
      </c>
      <c r="F1733" s="15">
        <v>10</v>
      </c>
      <c r="G1733" s="89" t="s">
        <v>40</v>
      </c>
      <c r="H1733" s="78" t="s">
        <v>221</v>
      </c>
    </row>
    <row r="1734" spans="1:8" x14ac:dyDescent="0.25">
      <c r="A1734" s="257"/>
      <c r="B1734" s="260"/>
      <c r="C1734" s="25" t="s">
        <v>13</v>
      </c>
      <c r="D1734" s="255">
        <v>6</v>
      </c>
      <c r="E1734" s="98" t="s">
        <v>90</v>
      </c>
      <c r="F1734" s="15">
        <v>9</v>
      </c>
      <c r="G1734" s="89" t="s">
        <v>40</v>
      </c>
      <c r="H1734" s="78" t="s">
        <v>380</v>
      </c>
    </row>
    <row r="1735" spans="1:8" ht="31.5" x14ac:dyDescent="0.25">
      <c r="A1735" s="257"/>
      <c r="B1735" s="260"/>
      <c r="C1735" s="25" t="s">
        <v>13</v>
      </c>
      <c r="D1735" s="255"/>
      <c r="E1735" s="98" t="s">
        <v>280</v>
      </c>
      <c r="F1735" s="15"/>
      <c r="G1735" s="89">
        <v>103</v>
      </c>
      <c r="H1735" s="78" t="s">
        <v>375</v>
      </c>
    </row>
    <row r="1736" spans="1:8" x14ac:dyDescent="0.25">
      <c r="A1736" s="257"/>
      <c r="B1736" s="260"/>
      <c r="C1736" s="25" t="s">
        <v>13</v>
      </c>
      <c r="D1736" s="255">
        <v>5</v>
      </c>
      <c r="E1736" s="98" t="s">
        <v>216</v>
      </c>
      <c r="F1736" s="15">
        <v>6</v>
      </c>
      <c r="G1736" s="89">
        <v>103</v>
      </c>
      <c r="H1736" s="78"/>
    </row>
    <row r="1737" spans="1:8" x14ac:dyDescent="0.25">
      <c r="A1737" s="257"/>
      <c r="B1737" s="260"/>
      <c r="C1737" s="25" t="s">
        <v>13</v>
      </c>
      <c r="D1737" s="255"/>
      <c r="E1737" s="98" t="s">
        <v>94</v>
      </c>
      <c r="F1737" s="15">
        <v>6</v>
      </c>
      <c r="G1737" s="89">
        <v>103</v>
      </c>
      <c r="H1737" s="78"/>
    </row>
    <row r="1738" spans="1:8" x14ac:dyDescent="0.25">
      <c r="A1738" s="257"/>
      <c r="B1738" s="260"/>
      <c r="C1738" s="25" t="s">
        <v>13</v>
      </c>
      <c r="D1738" s="255"/>
      <c r="E1738" s="98" t="s">
        <v>216</v>
      </c>
      <c r="F1738" s="15">
        <v>4</v>
      </c>
      <c r="G1738" s="89">
        <v>102</v>
      </c>
      <c r="H1738" s="78"/>
    </row>
    <row r="1739" spans="1:8" x14ac:dyDescent="0.25">
      <c r="A1739" s="257"/>
      <c r="B1739" s="260"/>
      <c r="C1739" s="25" t="s">
        <v>13</v>
      </c>
      <c r="D1739" s="255"/>
      <c r="E1739" s="98" t="s">
        <v>94</v>
      </c>
      <c r="F1739" s="15">
        <v>4</v>
      </c>
      <c r="G1739" s="89">
        <v>102</v>
      </c>
      <c r="H1739" s="78"/>
    </row>
    <row r="1740" spans="1:8" x14ac:dyDescent="0.25">
      <c r="A1740" s="257"/>
      <c r="B1740" s="260"/>
      <c r="C1740" s="25" t="s">
        <v>13</v>
      </c>
      <c r="D1740" s="255"/>
      <c r="E1740" s="98" t="s">
        <v>93</v>
      </c>
      <c r="F1740" s="15">
        <v>3</v>
      </c>
      <c r="G1740" s="89">
        <v>116</v>
      </c>
      <c r="H1740" s="78" t="s">
        <v>125</v>
      </c>
    </row>
    <row r="1741" spans="1:8" x14ac:dyDescent="0.25">
      <c r="A1741" s="257"/>
      <c r="B1741" s="260"/>
      <c r="C1741" s="25" t="s">
        <v>13</v>
      </c>
      <c r="D1741" s="255"/>
      <c r="E1741" s="98" t="s">
        <v>213</v>
      </c>
      <c r="F1741" s="15">
        <v>3</v>
      </c>
      <c r="G1741" s="89">
        <v>116</v>
      </c>
      <c r="H1741" s="78"/>
    </row>
    <row r="1742" spans="1:8" x14ac:dyDescent="0.25">
      <c r="A1742" s="257">
        <v>46171</v>
      </c>
      <c r="B1742" s="260" t="s">
        <v>5</v>
      </c>
      <c r="C1742" s="25" t="s">
        <v>6</v>
      </c>
      <c r="D1742" s="248">
        <v>2</v>
      </c>
      <c r="E1742" s="98" t="s">
        <v>329</v>
      </c>
      <c r="F1742" s="15">
        <v>2</v>
      </c>
      <c r="G1742" s="89">
        <v>111</v>
      </c>
      <c r="H1742" s="78" t="s">
        <v>381</v>
      </c>
    </row>
    <row r="1743" spans="1:8" x14ac:dyDescent="0.25">
      <c r="A1743" s="257"/>
      <c r="B1743" s="260"/>
      <c r="C1743" s="25" t="s">
        <v>6</v>
      </c>
      <c r="D1743" s="248">
        <v>1</v>
      </c>
      <c r="E1743" s="98" t="s">
        <v>329</v>
      </c>
      <c r="F1743" s="15">
        <v>4</v>
      </c>
      <c r="G1743" s="89">
        <v>111</v>
      </c>
      <c r="H1743" s="78" t="s">
        <v>382</v>
      </c>
    </row>
    <row r="1744" spans="1:8" x14ac:dyDescent="0.25">
      <c r="A1744" s="257"/>
      <c r="B1744" s="260"/>
      <c r="C1744" s="25" t="s">
        <v>6</v>
      </c>
      <c r="D1744" s="248">
        <v>1</v>
      </c>
      <c r="E1744" s="98" t="s">
        <v>329</v>
      </c>
      <c r="F1744" s="15">
        <v>4</v>
      </c>
      <c r="G1744" s="89">
        <v>111</v>
      </c>
      <c r="H1744" s="78" t="s">
        <v>385</v>
      </c>
    </row>
    <row r="1745" spans="1:8" x14ac:dyDescent="0.25">
      <c r="A1745" s="257"/>
      <c r="B1745" s="260"/>
      <c r="C1745" s="25" t="s">
        <v>6</v>
      </c>
      <c r="D1745" s="265">
        <v>4</v>
      </c>
      <c r="E1745" s="98" t="s">
        <v>383</v>
      </c>
      <c r="F1745" s="15">
        <v>20</v>
      </c>
      <c r="G1745" s="89">
        <v>116</v>
      </c>
      <c r="H1745" s="78"/>
    </row>
    <row r="1746" spans="1:8" x14ac:dyDescent="0.25">
      <c r="A1746" s="257"/>
      <c r="B1746" s="260"/>
      <c r="C1746" s="25" t="s">
        <v>6</v>
      </c>
      <c r="D1746" s="264"/>
      <c r="E1746" s="98" t="s">
        <v>199</v>
      </c>
      <c r="F1746" s="15">
        <v>2</v>
      </c>
      <c r="G1746" s="89">
        <v>116</v>
      </c>
      <c r="H1746" s="78"/>
    </row>
    <row r="1747" spans="1:8" x14ac:dyDescent="0.25">
      <c r="A1747" s="257"/>
      <c r="B1747" s="260"/>
      <c r="C1747" s="25" t="s">
        <v>6</v>
      </c>
      <c r="D1747" s="265">
        <v>6</v>
      </c>
      <c r="E1747" s="98" t="s">
        <v>450</v>
      </c>
      <c r="F1747" s="15">
        <v>41</v>
      </c>
      <c r="G1747" s="89" t="s">
        <v>40</v>
      </c>
      <c r="H1747" s="78"/>
    </row>
    <row r="1748" spans="1:8" x14ac:dyDescent="0.25">
      <c r="A1748" s="257"/>
      <c r="B1748" s="260"/>
      <c r="C1748" s="25" t="s">
        <v>6</v>
      </c>
      <c r="D1748" s="264"/>
      <c r="E1748" s="98" t="s">
        <v>26</v>
      </c>
      <c r="F1748" s="15">
        <v>25</v>
      </c>
      <c r="G1748" s="89" t="s">
        <v>40</v>
      </c>
      <c r="H1748" s="78"/>
    </row>
    <row r="1749" spans="1:8" x14ac:dyDescent="0.25">
      <c r="A1749" s="257"/>
      <c r="B1749" s="260"/>
      <c r="C1749" s="25" t="s">
        <v>6</v>
      </c>
      <c r="D1749" s="265">
        <v>4</v>
      </c>
      <c r="E1749" s="98" t="s">
        <v>78</v>
      </c>
      <c r="F1749" s="15">
        <v>3</v>
      </c>
      <c r="G1749" s="89">
        <v>101</v>
      </c>
      <c r="H1749" s="78"/>
    </row>
    <row r="1750" spans="1:8" x14ac:dyDescent="0.25">
      <c r="A1750" s="257"/>
      <c r="B1750" s="260"/>
      <c r="C1750" s="25" t="s">
        <v>6</v>
      </c>
      <c r="D1750" s="263"/>
      <c r="E1750" s="98" t="s">
        <v>58</v>
      </c>
      <c r="F1750" s="15">
        <v>1</v>
      </c>
      <c r="G1750" s="89">
        <v>101</v>
      </c>
      <c r="H1750" s="78"/>
    </row>
    <row r="1751" spans="1:8" x14ac:dyDescent="0.25">
      <c r="A1751" s="257"/>
      <c r="B1751" s="260"/>
      <c r="C1751" s="25" t="s">
        <v>6</v>
      </c>
      <c r="D1751" s="264"/>
      <c r="E1751" s="98" t="s">
        <v>450</v>
      </c>
      <c r="F1751" s="15">
        <v>10</v>
      </c>
      <c r="G1751" s="89">
        <v>101</v>
      </c>
      <c r="H1751" s="78"/>
    </row>
    <row r="1752" spans="1:8" x14ac:dyDescent="0.25">
      <c r="A1752" s="257"/>
      <c r="B1752" s="260"/>
      <c r="C1752" s="25" t="s">
        <v>6</v>
      </c>
      <c r="D1752" s="265">
        <v>3</v>
      </c>
      <c r="E1752" s="98" t="s">
        <v>91</v>
      </c>
      <c r="F1752" s="15">
        <v>6</v>
      </c>
      <c r="G1752" s="89">
        <v>117</v>
      </c>
      <c r="H1752" s="78"/>
    </row>
    <row r="1753" spans="1:8" x14ac:dyDescent="0.25">
      <c r="A1753" s="257"/>
      <c r="B1753" s="260"/>
      <c r="C1753" s="25" t="s">
        <v>6</v>
      </c>
      <c r="D1753" s="263"/>
      <c r="E1753" s="98" t="s">
        <v>456</v>
      </c>
      <c r="F1753" s="15">
        <v>10</v>
      </c>
      <c r="G1753" s="89">
        <v>117</v>
      </c>
      <c r="H1753" s="78"/>
    </row>
    <row r="1754" spans="1:8" x14ac:dyDescent="0.25">
      <c r="A1754" s="257"/>
      <c r="B1754" s="260"/>
      <c r="C1754" s="25" t="s">
        <v>6</v>
      </c>
      <c r="D1754" s="264"/>
      <c r="E1754" s="98" t="s">
        <v>384</v>
      </c>
      <c r="F1754" s="15">
        <v>2</v>
      </c>
      <c r="G1754" s="89">
        <v>112</v>
      </c>
      <c r="H1754" s="78"/>
    </row>
    <row r="1755" spans="1:8" x14ac:dyDescent="0.25">
      <c r="A1755" s="257"/>
      <c r="B1755" s="260"/>
      <c r="C1755" s="25" t="s">
        <v>6</v>
      </c>
      <c r="D1755" s="265">
        <v>4</v>
      </c>
      <c r="E1755" s="98" t="s">
        <v>90</v>
      </c>
      <c r="F1755" s="15">
        <v>12</v>
      </c>
      <c r="G1755" s="89">
        <v>116</v>
      </c>
      <c r="H1755" s="78"/>
    </row>
    <row r="1756" spans="1:8" x14ac:dyDescent="0.25">
      <c r="A1756" s="257"/>
      <c r="B1756" s="260"/>
      <c r="C1756" s="25" t="s">
        <v>6</v>
      </c>
      <c r="D1756" s="264"/>
      <c r="E1756" s="98" t="s">
        <v>456</v>
      </c>
      <c r="F1756" s="15">
        <v>16</v>
      </c>
      <c r="G1756" s="89">
        <v>116</v>
      </c>
      <c r="H1756" s="78"/>
    </row>
    <row r="1757" spans="1:8" x14ac:dyDescent="0.25">
      <c r="A1757" s="257"/>
      <c r="B1757" s="260"/>
      <c r="C1757" s="25" t="s">
        <v>6</v>
      </c>
      <c r="D1757" s="265">
        <v>4</v>
      </c>
      <c r="E1757" s="98" t="s">
        <v>450</v>
      </c>
      <c r="F1757" s="15">
        <v>36</v>
      </c>
      <c r="G1757" s="89">
        <v>112</v>
      </c>
      <c r="H1757" s="78"/>
    </row>
    <row r="1758" spans="1:8" x14ac:dyDescent="0.25">
      <c r="A1758" s="257"/>
      <c r="B1758" s="260"/>
      <c r="C1758" s="25" t="s">
        <v>6</v>
      </c>
      <c r="D1758" s="264"/>
      <c r="E1758" s="98" t="s">
        <v>346</v>
      </c>
      <c r="F1758" s="15"/>
      <c r="G1758" s="89">
        <v>112</v>
      </c>
      <c r="H1758" s="78"/>
    </row>
    <row r="1759" spans="1:8" x14ac:dyDescent="0.25">
      <c r="A1759" s="257"/>
      <c r="B1759" s="260"/>
      <c r="C1759" s="25" t="s">
        <v>13</v>
      </c>
      <c r="D1759" s="265">
        <v>4</v>
      </c>
      <c r="E1759" s="98" t="s">
        <v>140</v>
      </c>
      <c r="F1759" s="15">
        <v>4</v>
      </c>
      <c r="G1759" s="89">
        <v>117</v>
      </c>
      <c r="H1759" s="78"/>
    </row>
    <row r="1760" spans="1:8" x14ac:dyDescent="0.25">
      <c r="A1760" s="257"/>
      <c r="B1760" s="260"/>
      <c r="C1760" s="25" t="s">
        <v>13</v>
      </c>
      <c r="D1760" s="263"/>
      <c r="E1760" s="98" t="s">
        <v>87</v>
      </c>
      <c r="F1760" s="15">
        <v>3</v>
      </c>
      <c r="G1760" s="89">
        <v>117</v>
      </c>
      <c r="H1760" s="78"/>
    </row>
    <row r="1761" spans="1:8" x14ac:dyDescent="0.25">
      <c r="A1761" s="257"/>
      <c r="B1761" s="260"/>
      <c r="C1761" s="25" t="s">
        <v>13</v>
      </c>
      <c r="D1761" s="264"/>
      <c r="E1761" s="98" t="s">
        <v>86</v>
      </c>
      <c r="F1761" s="15">
        <v>2</v>
      </c>
      <c r="G1761" s="89">
        <v>117</v>
      </c>
      <c r="H1761" s="78"/>
    </row>
    <row r="1762" spans="1:8" ht="31.5" x14ac:dyDescent="0.25">
      <c r="A1762" s="257"/>
      <c r="B1762" s="260"/>
      <c r="C1762" s="25" t="s">
        <v>6</v>
      </c>
      <c r="D1762" s="248">
        <v>3</v>
      </c>
      <c r="E1762" s="98" t="s">
        <v>280</v>
      </c>
      <c r="F1762" s="15"/>
      <c r="G1762" s="89"/>
      <c r="H1762" s="78" t="s">
        <v>375</v>
      </c>
    </row>
    <row r="1763" spans="1:8" x14ac:dyDescent="0.25">
      <c r="A1763" s="257"/>
      <c r="B1763" s="260"/>
      <c r="C1763" s="25" t="s">
        <v>6</v>
      </c>
      <c r="D1763" s="248">
        <v>2</v>
      </c>
      <c r="E1763" s="98" t="s">
        <v>229</v>
      </c>
      <c r="F1763" s="15"/>
      <c r="G1763" s="89"/>
      <c r="H1763" s="78"/>
    </row>
    <row r="1764" spans="1:8" ht="16.5" thickBot="1" x14ac:dyDescent="0.3">
      <c r="A1764" s="258"/>
      <c r="B1764" s="261"/>
      <c r="C1764" s="24" t="s">
        <v>13</v>
      </c>
      <c r="D1764" s="245">
        <v>3</v>
      </c>
      <c r="E1764" s="123" t="s">
        <v>256</v>
      </c>
      <c r="F1764" s="145"/>
      <c r="G1764" s="99"/>
      <c r="H1764" s="88"/>
    </row>
    <row r="1765" spans="1:8" x14ac:dyDescent="0.25">
      <c r="A1765" s="256">
        <v>46172</v>
      </c>
      <c r="B1765" s="259" t="s">
        <v>36</v>
      </c>
      <c r="C1765" s="74" t="s">
        <v>13</v>
      </c>
      <c r="D1765" s="266">
        <v>10</v>
      </c>
      <c r="E1765" s="165" t="s">
        <v>217</v>
      </c>
      <c r="F1765" s="75">
        <v>72</v>
      </c>
      <c r="G1765" s="90">
        <v>105</v>
      </c>
      <c r="H1765" s="77" t="s">
        <v>125</v>
      </c>
    </row>
    <row r="1766" spans="1:8" x14ac:dyDescent="0.25">
      <c r="A1766" s="257"/>
      <c r="B1766" s="260"/>
      <c r="C1766" s="25" t="s">
        <v>7</v>
      </c>
      <c r="D1766" s="255"/>
      <c r="E1766" s="98" t="s">
        <v>216</v>
      </c>
      <c r="F1766" s="15">
        <v>6</v>
      </c>
      <c r="G1766" s="89">
        <v>105</v>
      </c>
      <c r="H1766" s="78"/>
    </row>
    <row r="1767" spans="1:8" x14ac:dyDescent="0.25">
      <c r="A1767" s="257"/>
      <c r="B1767" s="260"/>
      <c r="C1767" s="25" t="s">
        <v>389</v>
      </c>
      <c r="D1767" s="255"/>
      <c r="E1767" s="98" t="s">
        <v>94</v>
      </c>
      <c r="F1767" s="15">
        <v>6</v>
      </c>
      <c r="G1767" s="89">
        <v>105</v>
      </c>
      <c r="H1767" s="78"/>
    </row>
    <row r="1768" spans="1:8" x14ac:dyDescent="0.25">
      <c r="A1768" s="257"/>
      <c r="B1768" s="260"/>
      <c r="C1768" s="25" t="s">
        <v>390</v>
      </c>
      <c r="D1768" s="255"/>
      <c r="E1768" s="98" t="s">
        <v>110</v>
      </c>
      <c r="F1768" s="15">
        <v>9.6</v>
      </c>
      <c r="G1768" s="89">
        <v>102</v>
      </c>
      <c r="H1768" s="78"/>
    </row>
    <row r="1769" spans="1:8" x14ac:dyDescent="0.25">
      <c r="A1769" s="257"/>
      <c r="B1769" s="260"/>
      <c r="C1769" s="25" t="s">
        <v>391</v>
      </c>
      <c r="D1769" s="255"/>
      <c r="E1769" s="98" t="s">
        <v>217</v>
      </c>
      <c r="F1769" s="15">
        <v>81</v>
      </c>
      <c r="G1769" s="89">
        <v>110</v>
      </c>
      <c r="H1769" s="78" t="s">
        <v>125</v>
      </c>
    </row>
    <row r="1770" spans="1:8" x14ac:dyDescent="0.25">
      <c r="A1770" s="257"/>
      <c r="B1770" s="260"/>
      <c r="C1770" s="25" t="s">
        <v>392</v>
      </c>
      <c r="D1770" s="255"/>
      <c r="E1770" s="98" t="s">
        <v>356</v>
      </c>
      <c r="F1770" s="15"/>
      <c r="G1770" s="89">
        <v>110</v>
      </c>
      <c r="H1770" s="78" t="s">
        <v>125</v>
      </c>
    </row>
    <row r="1771" spans="1:8" x14ac:dyDescent="0.25">
      <c r="A1771" s="257"/>
      <c r="B1771" s="260"/>
      <c r="C1771" s="25" t="s">
        <v>393</v>
      </c>
      <c r="D1771" s="255"/>
      <c r="E1771" s="98" t="s">
        <v>147</v>
      </c>
      <c r="F1771" s="15">
        <v>4</v>
      </c>
      <c r="G1771" s="89">
        <v>110</v>
      </c>
      <c r="H1771" s="78"/>
    </row>
    <row r="1772" spans="1:8" x14ac:dyDescent="0.25">
      <c r="A1772" s="257"/>
      <c r="B1772" s="260"/>
      <c r="C1772" s="25" t="s">
        <v>394</v>
      </c>
      <c r="D1772" s="255"/>
      <c r="E1772" s="98" t="s">
        <v>280</v>
      </c>
      <c r="F1772" s="15"/>
      <c r="G1772" s="89">
        <v>110</v>
      </c>
      <c r="H1772" s="78"/>
    </row>
    <row r="1773" spans="1:8" x14ac:dyDescent="0.25">
      <c r="A1773" s="257"/>
      <c r="B1773" s="260"/>
      <c r="C1773" s="25" t="s">
        <v>395</v>
      </c>
      <c r="D1773" s="255">
        <v>2</v>
      </c>
      <c r="E1773" s="98" t="s">
        <v>93</v>
      </c>
      <c r="F1773" s="15">
        <v>4</v>
      </c>
      <c r="G1773" s="89">
        <v>116</v>
      </c>
      <c r="H1773" s="78" t="s">
        <v>125</v>
      </c>
    </row>
    <row r="1774" spans="1:8" x14ac:dyDescent="0.25">
      <c r="A1774" s="257"/>
      <c r="B1774" s="260"/>
      <c r="C1774" s="25" t="s">
        <v>396</v>
      </c>
      <c r="D1774" s="255"/>
      <c r="E1774" s="98" t="s">
        <v>213</v>
      </c>
      <c r="F1774" s="15">
        <v>10</v>
      </c>
      <c r="G1774" s="89">
        <v>116</v>
      </c>
      <c r="H1774" s="78"/>
    </row>
    <row r="1775" spans="1:8" x14ac:dyDescent="0.25">
      <c r="A1775" s="257"/>
      <c r="B1775" s="260"/>
      <c r="C1775" s="25" t="s">
        <v>6</v>
      </c>
      <c r="D1775" s="255">
        <v>3</v>
      </c>
      <c r="E1775" s="164" t="s">
        <v>455</v>
      </c>
      <c r="F1775" s="15">
        <v>15</v>
      </c>
      <c r="G1775" s="89" t="s">
        <v>387</v>
      </c>
      <c r="H1775" s="78" t="s">
        <v>386</v>
      </c>
    </row>
    <row r="1776" spans="1:8" x14ac:dyDescent="0.25">
      <c r="A1776" s="257"/>
      <c r="B1776" s="260"/>
      <c r="C1776" s="25" t="s">
        <v>6</v>
      </c>
      <c r="D1776" s="255"/>
      <c r="E1776" s="98" t="s">
        <v>388</v>
      </c>
      <c r="F1776" s="15">
        <v>15</v>
      </c>
      <c r="G1776" s="89" t="s">
        <v>387</v>
      </c>
      <c r="H1776" s="78"/>
    </row>
    <row r="1777" spans="1:8" x14ac:dyDescent="0.25">
      <c r="A1777" s="257"/>
      <c r="B1777" s="260"/>
      <c r="C1777" s="25" t="s">
        <v>7</v>
      </c>
      <c r="D1777" s="255">
        <v>4</v>
      </c>
      <c r="E1777" s="98" t="s">
        <v>216</v>
      </c>
      <c r="F1777" s="15">
        <v>4</v>
      </c>
      <c r="G1777" s="89">
        <v>104</v>
      </c>
      <c r="H1777" s="78" t="s">
        <v>125</v>
      </c>
    </row>
    <row r="1778" spans="1:8" x14ac:dyDescent="0.25">
      <c r="A1778" s="257"/>
      <c r="B1778" s="260"/>
      <c r="C1778" s="25" t="s">
        <v>389</v>
      </c>
      <c r="D1778" s="255"/>
      <c r="E1778" s="98" t="s">
        <v>94</v>
      </c>
      <c r="F1778" s="15">
        <v>4</v>
      </c>
      <c r="G1778" s="89">
        <v>104</v>
      </c>
      <c r="H1778" s="78"/>
    </row>
    <row r="1779" spans="1:8" x14ac:dyDescent="0.25">
      <c r="A1779" s="257"/>
      <c r="B1779" s="260"/>
      <c r="C1779" s="25" t="s">
        <v>390</v>
      </c>
      <c r="D1779" s="255"/>
      <c r="E1779" s="98" t="s">
        <v>216</v>
      </c>
      <c r="F1779" s="15">
        <v>6</v>
      </c>
      <c r="G1779" s="89">
        <v>105</v>
      </c>
      <c r="H1779" s="78"/>
    </row>
    <row r="1780" spans="1:8" x14ac:dyDescent="0.25">
      <c r="A1780" s="257"/>
      <c r="B1780" s="260"/>
      <c r="C1780" s="25" t="s">
        <v>391</v>
      </c>
      <c r="D1780" s="255"/>
      <c r="E1780" s="98" t="s">
        <v>94</v>
      </c>
      <c r="F1780" s="15">
        <v>6</v>
      </c>
      <c r="G1780" s="89">
        <v>105</v>
      </c>
      <c r="H1780" s="78"/>
    </row>
    <row r="1781" spans="1:8" x14ac:dyDescent="0.25">
      <c r="A1781" s="257"/>
      <c r="B1781" s="260"/>
      <c r="C1781" s="25" t="s">
        <v>13</v>
      </c>
      <c r="D1781" s="255">
        <v>6</v>
      </c>
      <c r="E1781" s="98" t="s">
        <v>144</v>
      </c>
      <c r="F1781" s="15"/>
      <c r="G1781" s="89" t="s">
        <v>75</v>
      </c>
      <c r="H1781" s="78"/>
    </row>
    <row r="1782" spans="1:8" x14ac:dyDescent="0.25">
      <c r="A1782" s="257"/>
      <c r="B1782" s="260"/>
      <c r="C1782" s="25" t="s">
        <v>7</v>
      </c>
      <c r="D1782" s="255"/>
      <c r="E1782" s="98" t="s">
        <v>280</v>
      </c>
      <c r="F1782" s="15"/>
      <c r="G1782" s="89" t="s">
        <v>75</v>
      </c>
      <c r="H1782" s="78"/>
    </row>
    <row r="1783" spans="1:8" x14ac:dyDescent="0.25">
      <c r="A1783" s="257"/>
      <c r="B1783" s="260"/>
      <c r="C1783" s="25" t="s">
        <v>389</v>
      </c>
      <c r="D1783" s="255"/>
      <c r="E1783" s="98" t="s">
        <v>90</v>
      </c>
      <c r="F1783" s="15">
        <v>8</v>
      </c>
      <c r="G1783" s="89" t="s">
        <v>75</v>
      </c>
      <c r="H1783" s="78"/>
    </row>
    <row r="1784" spans="1:8" x14ac:dyDescent="0.25">
      <c r="A1784" s="257"/>
      <c r="B1784" s="260"/>
      <c r="C1784" s="25" t="s">
        <v>390</v>
      </c>
      <c r="D1784" s="255"/>
      <c r="E1784" s="98" t="s">
        <v>110</v>
      </c>
      <c r="F1784" s="15">
        <v>96</v>
      </c>
      <c r="G1784" s="89">
        <v>107</v>
      </c>
      <c r="H1784" s="78"/>
    </row>
    <row r="1785" spans="1:8" x14ac:dyDescent="0.25">
      <c r="A1785" s="257">
        <v>46172</v>
      </c>
      <c r="B1785" s="260" t="s">
        <v>5</v>
      </c>
      <c r="C1785" s="25" t="s">
        <v>6</v>
      </c>
      <c r="D1785" s="248">
        <v>5</v>
      </c>
      <c r="E1785" s="98" t="s">
        <v>317</v>
      </c>
      <c r="F1785" s="15">
        <v>80</v>
      </c>
      <c r="G1785" s="89" t="s">
        <v>40</v>
      </c>
      <c r="H1785" s="78"/>
    </row>
    <row r="1786" spans="1:8" x14ac:dyDescent="0.25">
      <c r="A1786" s="257"/>
      <c r="B1786" s="260"/>
      <c r="C1786" s="25" t="s">
        <v>6</v>
      </c>
      <c r="D1786" s="265">
        <v>8</v>
      </c>
      <c r="E1786" s="98" t="s">
        <v>345</v>
      </c>
      <c r="F1786" s="15">
        <v>180</v>
      </c>
      <c r="G1786" s="89" t="s">
        <v>397</v>
      </c>
      <c r="H1786" s="78"/>
    </row>
    <row r="1787" spans="1:8" x14ac:dyDescent="0.25">
      <c r="A1787" s="257"/>
      <c r="B1787" s="260"/>
      <c r="C1787" s="25" t="s">
        <v>6</v>
      </c>
      <c r="D1787" s="264"/>
      <c r="E1787" s="98" t="s">
        <v>201</v>
      </c>
      <c r="F1787" s="15">
        <v>25</v>
      </c>
      <c r="G1787" s="89" t="s">
        <v>19</v>
      </c>
      <c r="H1787" s="78"/>
    </row>
    <row r="1788" spans="1:8" x14ac:dyDescent="0.25">
      <c r="A1788" s="257"/>
      <c r="B1788" s="260"/>
      <c r="C1788" s="25" t="s">
        <v>6</v>
      </c>
      <c r="D1788" s="248">
        <v>5</v>
      </c>
      <c r="E1788" s="98" t="s">
        <v>345</v>
      </c>
      <c r="F1788" s="15">
        <v>120</v>
      </c>
      <c r="G1788" s="89">
        <v>111</v>
      </c>
      <c r="H1788" s="78"/>
    </row>
    <row r="1789" spans="1:8" x14ac:dyDescent="0.25">
      <c r="A1789" s="257"/>
      <c r="B1789" s="260"/>
      <c r="C1789" s="25" t="s">
        <v>6</v>
      </c>
      <c r="D1789" s="265">
        <v>4</v>
      </c>
      <c r="E1789" s="98" t="s">
        <v>450</v>
      </c>
      <c r="F1789" s="15">
        <v>30</v>
      </c>
      <c r="G1789" s="89">
        <v>113</v>
      </c>
      <c r="H1789" s="78"/>
    </row>
    <row r="1790" spans="1:8" x14ac:dyDescent="0.25">
      <c r="A1790" s="257"/>
      <c r="B1790" s="260"/>
      <c r="C1790" s="25" t="s">
        <v>6</v>
      </c>
      <c r="D1790" s="264"/>
      <c r="E1790" s="98" t="s">
        <v>26</v>
      </c>
      <c r="F1790" s="15">
        <v>30</v>
      </c>
      <c r="G1790" s="89">
        <v>113</v>
      </c>
      <c r="H1790" s="78"/>
    </row>
    <row r="1791" spans="1:8" x14ac:dyDescent="0.25">
      <c r="A1791" s="257"/>
      <c r="B1791" s="260"/>
      <c r="C1791" s="25" t="s">
        <v>6</v>
      </c>
      <c r="D1791" s="265">
        <v>5</v>
      </c>
      <c r="E1791" s="98" t="s">
        <v>58</v>
      </c>
      <c r="F1791" s="15">
        <v>6</v>
      </c>
      <c r="G1791" s="89">
        <v>116</v>
      </c>
      <c r="H1791" s="78"/>
    </row>
    <row r="1792" spans="1:8" x14ac:dyDescent="0.25">
      <c r="A1792" s="257"/>
      <c r="B1792" s="260"/>
      <c r="C1792" s="25" t="s">
        <v>6</v>
      </c>
      <c r="D1792" s="263"/>
      <c r="E1792" s="98" t="s">
        <v>310</v>
      </c>
      <c r="F1792" s="15">
        <v>1</v>
      </c>
      <c r="G1792" s="89">
        <v>116</v>
      </c>
      <c r="H1792" s="78"/>
    </row>
    <row r="1793" spans="1:8" x14ac:dyDescent="0.25">
      <c r="A1793" s="257"/>
      <c r="B1793" s="260"/>
      <c r="C1793" s="25" t="s">
        <v>6</v>
      </c>
      <c r="D1793" s="264"/>
      <c r="E1793" s="98" t="s">
        <v>110</v>
      </c>
      <c r="F1793" s="15">
        <v>8</v>
      </c>
      <c r="G1793" s="89">
        <v>116</v>
      </c>
      <c r="H1793" s="78"/>
    </row>
    <row r="1794" spans="1:8" x14ac:dyDescent="0.25">
      <c r="A1794" s="257"/>
      <c r="B1794" s="260"/>
      <c r="C1794" s="25" t="s">
        <v>6</v>
      </c>
      <c r="D1794" s="248">
        <v>3</v>
      </c>
      <c r="E1794" s="98" t="s">
        <v>523</v>
      </c>
      <c r="F1794" s="15"/>
      <c r="G1794" s="89">
        <v>101</v>
      </c>
      <c r="H1794" s="78" t="s">
        <v>398</v>
      </c>
    </row>
    <row r="1795" spans="1:8" x14ac:dyDescent="0.25">
      <c r="A1795" s="257"/>
      <c r="B1795" s="260"/>
      <c r="C1795" s="25" t="s">
        <v>6</v>
      </c>
      <c r="D1795" s="265">
        <v>5</v>
      </c>
      <c r="E1795" s="98" t="s">
        <v>399</v>
      </c>
      <c r="F1795" s="15">
        <v>20</v>
      </c>
      <c r="G1795" s="89">
        <v>116</v>
      </c>
      <c r="H1795" s="78"/>
    </row>
    <row r="1796" spans="1:8" x14ac:dyDescent="0.25">
      <c r="A1796" s="257"/>
      <c r="B1796" s="260"/>
      <c r="C1796" s="25" t="s">
        <v>6</v>
      </c>
      <c r="D1796" s="264"/>
      <c r="E1796" s="98" t="s">
        <v>199</v>
      </c>
      <c r="F1796" s="15">
        <v>2</v>
      </c>
      <c r="G1796" s="89">
        <v>116</v>
      </c>
      <c r="H1796" s="78"/>
    </row>
    <row r="1797" spans="1:8" x14ac:dyDescent="0.25">
      <c r="A1797" s="257"/>
      <c r="B1797" s="260"/>
      <c r="C1797" s="25" t="s">
        <v>13</v>
      </c>
      <c r="D1797" s="248">
        <v>3</v>
      </c>
      <c r="E1797" s="98" t="s">
        <v>256</v>
      </c>
      <c r="F1797" s="15"/>
      <c r="G1797" s="89"/>
      <c r="H1797" s="78"/>
    </row>
    <row r="1798" spans="1:8" ht="32.25" thickBot="1" x14ac:dyDescent="0.3">
      <c r="A1798" s="258"/>
      <c r="B1798" s="261"/>
      <c r="C1798" s="24" t="s">
        <v>6</v>
      </c>
      <c r="D1798" s="245">
        <v>3</v>
      </c>
      <c r="E1798" s="123" t="s">
        <v>280</v>
      </c>
      <c r="F1798" s="148"/>
      <c r="G1798" s="99"/>
      <c r="H1798" s="88" t="s">
        <v>375</v>
      </c>
    </row>
    <row r="1799" spans="1:8" x14ac:dyDescent="0.25">
      <c r="A1799" s="256">
        <v>46173</v>
      </c>
      <c r="B1799" s="259" t="s">
        <v>36</v>
      </c>
      <c r="C1799" s="74" t="s">
        <v>6</v>
      </c>
      <c r="D1799" s="262">
        <v>5</v>
      </c>
      <c r="E1799" s="165" t="s">
        <v>90</v>
      </c>
      <c r="F1799" s="75">
        <v>31</v>
      </c>
      <c r="G1799" s="90">
        <v>111</v>
      </c>
      <c r="H1799" s="77"/>
    </row>
    <row r="1800" spans="1:8" x14ac:dyDescent="0.25">
      <c r="A1800" s="257"/>
      <c r="B1800" s="260"/>
      <c r="C1800" s="25" t="s">
        <v>6</v>
      </c>
      <c r="D1800" s="264"/>
      <c r="E1800" s="98" t="s">
        <v>280</v>
      </c>
      <c r="F1800" s="15"/>
      <c r="G1800" s="149">
        <v>112</v>
      </c>
      <c r="H1800" s="78"/>
    </row>
    <row r="1801" spans="1:8" x14ac:dyDescent="0.25">
      <c r="A1801" s="257"/>
      <c r="B1801" s="260"/>
      <c r="C1801" s="25" t="s">
        <v>6</v>
      </c>
      <c r="D1801" s="265">
        <v>4</v>
      </c>
      <c r="E1801" s="98" t="s">
        <v>90</v>
      </c>
      <c r="F1801" s="15">
        <v>36</v>
      </c>
      <c r="G1801" s="89">
        <v>101</v>
      </c>
      <c r="H1801" s="78"/>
    </row>
    <row r="1802" spans="1:8" x14ac:dyDescent="0.25">
      <c r="A1802" s="257"/>
      <c r="B1802" s="260"/>
      <c r="C1802" s="25" t="s">
        <v>6</v>
      </c>
      <c r="D1802" s="263"/>
      <c r="E1802" s="98" t="s">
        <v>280</v>
      </c>
      <c r="F1802" s="15"/>
      <c r="G1802" s="89">
        <v>102</v>
      </c>
      <c r="H1802" s="78"/>
    </row>
    <row r="1803" spans="1:8" x14ac:dyDescent="0.25">
      <c r="A1803" s="257"/>
      <c r="B1803" s="260"/>
      <c r="C1803" s="25" t="s">
        <v>6</v>
      </c>
      <c r="D1803" s="263"/>
      <c r="E1803" s="98" t="s">
        <v>91</v>
      </c>
      <c r="F1803" s="15">
        <v>6</v>
      </c>
      <c r="G1803" s="89">
        <v>117</v>
      </c>
      <c r="H1803" s="78"/>
    </row>
    <row r="1804" spans="1:8" x14ac:dyDescent="0.25">
      <c r="A1804" s="257"/>
      <c r="B1804" s="260"/>
      <c r="C1804" s="25" t="s">
        <v>6</v>
      </c>
      <c r="D1804" s="264"/>
      <c r="E1804" s="98" t="s">
        <v>280</v>
      </c>
      <c r="F1804" s="15"/>
      <c r="G1804" s="89">
        <v>117</v>
      </c>
      <c r="H1804" s="78"/>
    </row>
    <row r="1805" spans="1:8" x14ac:dyDescent="0.25">
      <c r="A1805" s="257"/>
      <c r="B1805" s="260"/>
      <c r="C1805" s="25" t="s">
        <v>6</v>
      </c>
      <c r="D1805" s="248">
        <v>2</v>
      </c>
      <c r="E1805" s="98" t="s">
        <v>132</v>
      </c>
      <c r="F1805" s="15"/>
      <c r="G1805" s="89">
        <v>117</v>
      </c>
      <c r="H1805" s="78"/>
    </row>
    <row r="1806" spans="1:8" x14ac:dyDescent="0.25">
      <c r="A1806" s="257"/>
      <c r="B1806" s="260"/>
      <c r="C1806" s="25" t="s">
        <v>13</v>
      </c>
      <c r="D1806" s="265">
        <v>8</v>
      </c>
      <c r="E1806" s="98" t="s">
        <v>147</v>
      </c>
      <c r="F1806" s="15">
        <v>4</v>
      </c>
      <c r="G1806" s="89">
        <v>117</v>
      </c>
      <c r="H1806" s="78" t="s">
        <v>125</v>
      </c>
    </row>
    <row r="1807" spans="1:8" x14ac:dyDescent="0.25">
      <c r="A1807" s="257"/>
      <c r="B1807" s="260"/>
      <c r="C1807" s="25" t="s">
        <v>13</v>
      </c>
      <c r="D1807" s="263"/>
      <c r="E1807" s="98" t="s">
        <v>356</v>
      </c>
      <c r="F1807" s="15">
        <v>2</v>
      </c>
      <c r="G1807" s="89">
        <v>117</v>
      </c>
      <c r="H1807" s="78"/>
    </row>
    <row r="1808" spans="1:8" x14ac:dyDescent="0.25">
      <c r="A1808" s="257"/>
      <c r="B1808" s="260"/>
      <c r="C1808" s="25" t="s">
        <v>13</v>
      </c>
      <c r="D1808" s="263"/>
      <c r="E1808" s="98" t="s">
        <v>217</v>
      </c>
      <c r="F1808" s="15">
        <v>82</v>
      </c>
      <c r="G1808" s="89">
        <v>117</v>
      </c>
      <c r="H1808" s="78"/>
    </row>
    <row r="1809" spans="1:8" x14ac:dyDescent="0.25">
      <c r="A1809" s="257"/>
      <c r="B1809" s="260"/>
      <c r="C1809" s="25" t="s">
        <v>13</v>
      </c>
      <c r="D1809" s="263"/>
      <c r="E1809" s="98" t="s">
        <v>216</v>
      </c>
      <c r="F1809" s="15">
        <v>4</v>
      </c>
      <c r="G1809" s="89">
        <v>117</v>
      </c>
      <c r="H1809" s="78"/>
    </row>
    <row r="1810" spans="1:8" x14ac:dyDescent="0.25">
      <c r="A1810" s="257"/>
      <c r="B1810" s="260"/>
      <c r="C1810" s="25" t="s">
        <v>13</v>
      </c>
      <c r="D1810" s="263"/>
      <c r="E1810" s="98" t="s">
        <v>216</v>
      </c>
      <c r="F1810" s="15">
        <v>2</v>
      </c>
      <c r="G1810" s="89">
        <v>117</v>
      </c>
      <c r="H1810" s="78" t="s">
        <v>263</v>
      </c>
    </row>
    <row r="1811" spans="1:8" x14ac:dyDescent="0.25">
      <c r="A1811" s="257"/>
      <c r="B1811" s="260"/>
      <c r="C1811" s="25" t="s">
        <v>13</v>
      </c>
      <c r="D1811" s="264"/>
      <c r="E1811" s="98" t="s">
        <v>94</v>
      </c>
      <c r="F1811" s="15">
        <v>4</v>
      </c>
      <c r="G1811" s="89">
        <v>117</v>
      </c>
      <c r="H1811" s="78"/>
    </row>
    <row r="1812" spans="1:8" x14ac:dyDescent="0.25">
      <c r="A1812" s="257"/>
      <c r="B1812" s="260"/>
      <c r="C1812" s="25" t="s">
        <v>13</v>
      </c>
      <c r="D1812" s="265">
        <v>3</v>
      </c>
      <c r="E1812" s="98" t="s">
        <v>216</v>
      </c>
      <c r="F1812" s="15">
        <v>6</v>
      </c>
      <c r="G1812" s="89">
        <v>105</v>
      </c>
      <c r="H1812" s="78"/>
    </row>
    <row r="1813" spans="1:8" x14ac:dyDescent="0.25">
      <c r="A1813" s="257"/>
      <c r="B1813" s="260"/>
      <c r="C1813" s="25" t="s">
        <v>13</v>
      </c>
      <c r="D1813" s="263"/>
      <c r="E1813" s="98" t="s">
        <v>94</v>
      </c>
      <c r="F1813" s="15">
        <v>4</v>
      </c>
      <c r="G1813" s="89">
        <v>105</v>
      </c>
      <c r="H1813" s="78"/>
    </row>
    <row r="1814" spans="1:8" x14ac:dyDescent="0.25">
      <c r="A1814" s="257"/>
      <c r="B1814" s="260"/>
      <c r="C1814" s="25" t="s">
        <v>13</v>
      </c>
      <c r="D1814" s="264"/>
      <c r="E1814" s="98" t="s">
        <v>213</v>
      </c>
      <c r="F1814" s="15">
        <v>4</v>
      </c>
      <c r="G1814" s="89">
        <v>116</v>
      </c>
      <c r="H1814" s="78"/>
    </row>
    <row r="1815" spans="1:8" ht="30" x14ac:dyDescent="0.25">
      <c r="A1815" s="257">
        <v>46173</v>
      </c>
      <c r="B1815" s="260" t="s">
        <v>5</v>
      </c>
      <c r="C1815" s="25" t="s">
        <v>6</v>
      </c>
      <c r="D1815" s="248">
        <v>4</v>
      </c>
      <c r="E1815" s="98" t="s">
        <v>319</v>
      </c>
      <c r="F1815" s="15">
        <v>20</v>
      </c>
      <c r="G1815" s="89">
        <v>116</v>
      </c>
      <c r="H1815" s="78" t="s">
        <v>400</v>
      </c>
    </row>
    <row r="1816" spans="1:8" ht="31.5" x14ac:dyDescent="0.25">
      <c r="A1816" s="257"/>
      <c r="B1816" s="260"/>
      <c r="C1816" s="25" t="s">
        <v>6</v>
      </c>
      <c r="D1816" s="248">
        <v>8</v>
      </c>
      <c r="E1816" s="98" t="s">
        <v>345</v>
      </c>
      <c r="F1816" s="15">
        <v>170</v>
      </c>
      <c r="G1816" s="89" t="s">
        <v>397</v>
      </c>
      <c r="H1816" s="78" t="s">
        <v>401</v>
      </c>
    </row>
    <row r="1817" spans="1:8" x14ac:dyDescent="0.25">
      <c r="A1817" s="257"/>
      <c r="B1817" s="260"/>
      <c r="C1817" s="25" t="s">
        <v>6</v>
      </c>
      <c r="D1817" s="255">
        <v>4</v>
      </c>
      <c r="E1817" s="98" t="s">
        <v>402</v>
      </c>
      <c r="F1817" s="15">
        <v>4</v>
      </c>
      <c r="G1817" s="89">
        <v>116</v>
      </c>
      <c r="H1817" s="78" t="s">
        <v>403</v>
      </c>
    </row>
    <row r="1818" spans="1:8" x14ac:dyDescent="0.25">
      <c r="A1818" s="257"/>
      <c r="B1818" s="260"/>
      <c r="C1818" s="25" t="s">
        <v>6</v>
      </c>
      <c r="D1818" s="255"/>
      <c r="E1818" s="98" t="s">
        <v>260</v>
      </c>
      <c r="F1818" s="15">
        <v>24</v>
      </c>
      <c r="G1818" s="89">
        <v>116</v>
      </c>
      <c r="H1818" s="78"/>
    </row>
    <row r="1819" spans="1:8" x14ac:dyDescent="0.25">
      <c r="A1819" s="257"/>
      <c r="B1819" s="260"/>
      <c r="C1819" s="25" t="s">
        <v>6</v>
      </c>
      <c r="D1819" s="255">
        <v>4</v>
      </c>
      <c r="E1819" s="98" t="s">
        <v>272</v>
      </c>
      <c r="F1819" s="15">
        <v>25</v>
      </c>
      <c r="G1819" s="89">
        <v>112</v>
      </c>
      <c r="H1819" s="78"/>
    </row>
    <row r="1820" spans="1:8" x14ac:dyDescent="0.25">
      <c r="A1820" s="257"/>
      <c r="B1820" s="260"/>
      <c r="C1820" s="25" t="s">
        <v>6</v>
      </c>
      <c r="D1820" s="255"/>
      <c r="E1820" s="98" t="s">
        <v>26</v>
      </c>
      <c r="F1820" s="15">
        <v>25</v>
      </c>
      <c r="G1820" s="89">
        <v>112</v>
      </c>
      <c r="H1820" s="78"/>
    </row>
    <row r="1821" spans="1:8" x14ac:dyDescent="0.25">
      <c r="A1821" s="257"/>
      <c r="B1821" s="260"/>
      <c r="C1821" s="25" t="s">
        <v>6</v>
      </c>
      <c r="D1821" s="255">
        <v>4</v>
      </c>
      <c r="E1821" s="98" t="s">
        <v>260</v>
      </c>
      <c r="F1821" s="15">
        <v>60</v>
      </c>
      <c r="G1821" s="89">
        <v>116</v>
      </c>
      <c r="H1821" s="78"/>
    </row>
    <row r="1822" spans="1:8" x14ac:dyDescent="0.25">
      <c r="A1822" s="257"/>
      <c r="B1822" s="260"/>
      <c r="C1822" s="25" t="s">
        <v>6</v>
      </c>
      <c r="D1822" s="255"/>
      <c r="E1822" s="98" t="s">
        <v>404</v>
      </c>
      <c r="F1822" s="15">
        <v>64</v>
      </c>
      <c r="G1822" s="89">
        <v>116</v>
      </c>
      <c r="H1822" s="78" t="s">
        <v>405</v>
      </c>
    </row>
    <row r="1823" spans="1:8" x14ac:dyDescent="0.25">
      <c r="A1823" s="257"/>
      <c r="B1823" s="260"/>
      <c r="C1823" s="25" t="s">
        <v>6</v>
      </c>
      <c r="D1823" s="248">
        <v>3</v>
      </c>
      <c r="E1823" s="98" t="s">
        <v>280</v>
      </c>
      <c r="F1823" s="15"/>
      <c r="G1823" s="89">
        <v>116</v>
      </c>
      <c r="H1823" s="78"/>
    </row>
    <row r="1824" spans="1:8" x14ac:dyDescent="0.25">
      <c r="A1824" s="257"/>
      <c r="B1824" s="260"/>
      <c r="C1824" s="25" t="s">
        <v>6</v>
      </c>
      <c r="D1824" s="248">
        <v>2</v>
      </c>
      <c r="E1824" s="98" t="s">
        <v>93</v>
      </c>
      <c r="F1824" s="15">
        <v>8</v>
      </c>
      <c r="G1824" s="89" t="s">
        <v>40</v>
      </c>
      <c r="H1824" s="78"/>
    </row>
    <row r="1825" spans="1:8" x14ac:dyDescent="0.25">
      <c r="A1825" s="257"/>
      <c r="B1825" s="260"/>
      <c r="C1825" s="25" t="s">
        <v>6</v>
      </c>
      <c r="D1825" s="248">
        <v>1</v>
      </c>
      <c r="E1825" s="98" t="s">
        <v>329</v>
      </c>
      <c r="F1825" s="15"/>
      <c r="G1825" s="89" t="s">
        <v>40</v>
      </c>
      <c r="H1825" s="78" t="s">
        <v>406</v>
      </c>
    </row>
    <row r="1826" spans="1:8" ht="18.600000000000001" customHeight="1" x14ac:dyDescent="0.25">
      <c r="A1826" s="257"/>
      <c r="B1826" s="260"/>
      <c r="C1826" s="25" t="s">
        <v>6</v>
      </c>
      <c r="D1826" s="248">
        <v>1</v>
      </c>
      <c r="E1826" s="98" t="s">
        <v>377</v>
      </c>
      <c r="F1826" s="15">
        <v>5</v>
      </c>
      <c r="G1826" s="89">
        <v>116</v>
      </c>
      <c r="H1826" s="78" t="s">
        <v>407</v>
      </c>
    </row>
    <row r="1827" spans="1:8" x14ac:dyDescent="0.25">
      <c r="A1827" s="257"/>
      <c r="B1827" s="260"/>
      <c r="C1827" s="25" t="s">
        <v>6</v>
      </c>
      <c r="D1827" s="255">
        <v>2</v>
      </c>
      <c r="E1827" s="98" t="s">
        <v>329</v>
      </c>
      <c r="F1827" s="15"/>
      <c r="G1827" s="89">
        <v>112</v>
      </c>
      <c r="H1827" s="78" t="s">
        <v>373</v>
      </c>
    </row>
    <row r="1828" spans="1:8" x14ac:dyDescent="0.25">
      <c r="A1828" s="257"/>
      <c r="B1828" s="260"/>
      <c r="C1828" s="25" t="s">
        <v>6</v>
      </c>
      <c r="D1828" s="255"/>
      <c r="E1828" s="98" t="s">
        <v>272</v>
      </c>
      <c r="F1828" s="15">
        <v>8</v>
      </c>
      <c r="G1828" s="89">
        <v>111</v>
      </c>
      <c r="H1828" s="78"/>
    </row>
    <row r="1829" spans="1:8" x14ac:dyDescent="0.25">
      <c r="A1829" s="257"/>
      <c r="B1829" s="260"/>
      <c r="C1829" s="25" t="s">
        <v>6</v>
      </c>
      <c r="D1829" s="255"/>
      <c r="E1829" s="98" t="s">
        <v>272</v>
      </c>
      <c r="F1829" s="15">
        <v>25</v>
      </c>
      <c r="G1829" s="89">
        <v>111</v>
      </c>
      <c r="H1829" s="78"/>
    </row>
    <row r="1830" spans="1:8" x14ac:dyDescent="0.25">
      <c r="A1830" s="257"/>
      <c r="B1830" s="260"/>
      <c r="C1830" s="25" t="s">
        <v>6</v>
      </c>
      <c r="D1830" s="255"/>
      <c r="E1830" s="98" t="s">
        <v>26</v>
      </c>
      <c r="F1830" s="15">
        <v>15</v>
      </c>
      <c r="G1830" s="89">
        <v>111</v>
      </c>
      <c r="H1830" s="78"/>
    </row>
    <row r="1831" spans="1:8" x14ac:dyDescent="0.25">
      <c r="A1831" s="257"/>
      <c r="B1831" s="260"/>
      <c r="C1831" s="25" t="s">
        <v>13</v>
      </c>
      <c r="D1831" s="248">
        <v>3</v>
      </c>
      <c r="E1831" s="98" t="s">
        <v>256</v>
      </c>
      <c r="F1831" s="15"/>
      <c r="G1831" s="89"/>
      <c r="H1831" s="78"/>
    </row>
    <row r="1832" spans="1:8" ht="16.5" thickBot="1" x14ac:dyDescent="0.3">
      <c r="A1832" s="274"/>
      <c r="B1832" s="276"/>
      <c r="C1832" s="51" t="s">
        <v>13</v>
      </c>
      <c r="D1832" s="91">
        <v>2</v>
      </c>
      <c r="E1832" s="159" t="s">
        <v>229</v>
      </c>
      <c r="F1832" s="50"/>
      <c r="G1832" s="128"/>
      <c r="H1832" s="79"/>
    </row>
    <row r="1833" spans="1:8" x14ac:dyDescent="0.25">
      <c r="A1833" s="270">
        <v>46174</v>
      </c>
      <c r="B1833" s="267" t="s">
        <v>36</v>
      </c>
      <c r="C1833" s="74" t="s">
        <v>6</v>
      </c>
      <c r="D1833" s="262">
        <v>11</v>
      </c>
      <c r="E1833" s="165" t="s">
        <v>404</v>
      </c>
      <c r="F1833" s="75">
        <v>126</v>
      </c>
      <c r="G1833" s="76">
        <v>116</v>
      </c>
      <c r="H1833" s="77" t="s">
        <v>125</v>
      </c>
    </row>
    <row r="1834" spans="1:8" x14ac:dyDescent="0.25">
      <c r="A1834" s="271"/>
      <c r="B1834" s="268"/>
      <c r="C1834" s="23" t="s">
        <v>6</v>
      </c>
      <c r="D1834" s="263"/>
      <c r="E1834" s="98" t="s">
        <v>408</v>
      </c>
      <c r="F1834" s="15">
        <v>120</v>
      </c>
      <c r="G1834" s="70">
        <v>116</v>
      </c>
      <c r="H1834" s="78"/>
    </row>
    <row r="1835" spans="1:8" ht="30" x14ac:dyDescent="0.25">
      <c r="A1835" s="271"/>
      <c r="B1835" s="268"/>
      <c r="C1835" s="23" t="s">
        <v>6</v>
      </c>
      <c r="D1835" s="263"/>
      <c r="E1835" s="98" t="s">
        <v>319</v>
      </c>
      <c r="F1835" s="15">
        <v>4</v>
      </c>
      <c r="G1835" s="35">
        <v>116</v>
      </c>
      <c r="H1835" s="78"/>
    </row>
    <row r="1836" spans="1:8" ht="30" x14ac:dyDescent="0.25">
      <c r="A1836" s="271"/>
      <c r="B1836" s="268"/>
      <c r="C1836" s="23" t="s">
        <v>6</v>
      </c>
      <c r="D1836" s="264"/>
      <c r="E1836" s="98" t="s">
        <v>319</v>
      </c>
      <c r="F1836" s="15">
        <v>4</v>
      </c>
      <c r="G1836" s="35">
        <v>116</v>
      </c>
      <c r="H1836" s="78"/>
    </row>
    <row r="1837" spans="1:8" x14ac:dyDescent="0.25">
      <c r="A1837" s="271"/>
      <c r="B1837" s="268"/>
      <c r="C1837" s="23" t="s">
        <v>6</v>
      </c>
      <c r="D1837" s="265">
        <v>6</v>
      </c>
      <c r="E1837" s="98" t="s">
        <v>58</v>
      </c>
      <c r="F1837" s="15">
        <v>13.5</v>
      </c>
      <c r="G1837" s="35">
        <v>111</v>
      </c>
      <c r="H1837" s="78" t="s">
        <v>409</v>
      </c>
    </row>
    <row r="1838" spans="1:8" x14ac:dyDescent="0.25">
      <c r="A1838" s="271"/>
      <c r="B1838" s="268"/>
      <c r="C1838" s="23" t="s">
        <v>6</v>
      </c>
      <c r="D1838" s="263"/>
      <c r="E1838" s="98" t="s">
        <v>410</v>
      </c>
      <c r="F1838" s="15">
        <v>3</v>
      </c>
      <c r="G1838" s="35">
        <v>111</v>
      </c>
      <c r="H1838" s="78"/>
    </row>
    <row r="1839" spans="1:8" x14ac:dyDescent="0.25">
      <c r="A1839" s="271"/>
      <c r="B1839" s="268"/>
      <c r="C1839" s="23" t="s">
        <v>6</v>
      </c>
      <c r="D1839" s="263"/>
      <c r="E1839" s="98" t="s">
        <v>147</v>
      </c>
      <c r="F1839" s="15">
        <v>5</v>
      </c>
      <c r="G1839" s="35">
        <v>111</v>
      </c>
      <c r="H1839" s="78"/>
    </row>
    <row r="1840" spans="1:8" x14ac:dyDescent="0.25">
      <c r="A1840" s="271"/>
      <c r="B1840" s="268"/>
      <c r="C1840" s="23" t="s">
        <v>6</v>
      </c>
      <c r="D1840" s="263"/>
      <c r="E1840" s="98" t="s">
        <v>110</v>
      </c>
      <c r="F1840" s="15">
        <v>4</v>
      </c>
      <c r="G1840" s="35">
        <v>111</v>
      </c>
      <c r="H1840" s="78"/>
    </row>
    <row r="1841" spans="1:8" x14ac:dyDescent="0.25">
      <c r="A1841" s="271"/>
      <c r="B1841" s="268"/>
      <c r="C1841" s="23" t="s">
        <v>6</v>
      </c>
      <c r="D1841" s="263"/>
      <c r="E1841" s="98" t="s">
        <v>208</v>
      </c>
      <c r="F1841" s="15">
        <v>18</v>
      </c>
      <c r="G1841" s="35">
        <v>111</v>
      </c>
      <c r="H1841" s="78"/>
    </row>
    <row r="1842" spans="1:8" x14ac:dyDescent="0.25">
      <c r="A1842" s="271"/>
      <c r="B1842" s="268"/>
      <c r="C1842" s="23" t="s">
        <v>6</v>
      </c>
      <c r="D1842" s="263"/>
      <c r="E1842" s="98" t="s">
        <v>206</v>
      </c>
      <c r="F1842" s="15">
        <v>5</v>
      </c>
      <c r="G1842" s="35">
        <v>111</v>
      </c>
      <c r="H1842" s="78"/>
    </row>
    <row r="1843" spans="1:8" x14ac:dyDescent="0.25">
      <c r="A1843" s="271"/>
      <c r="B1843" s="268"/>
      <c r="C1843" s="23" t="s">
        <v>6</v>
      </c>
      <c r="D1843" s="264"/>
      <c r="E1843" s="98" t="s">
        <v>280</v>
      </c>
      <c r="F1843" s="15"/>
      <c r="G1843" s="35">
        <v>111</v>
      </c>
      <c r="H1843" s="78"/>
    </row>
    <row r="1844" spans="1:8" x14ac:dyDescent="0.25">
      <c r="A1844" s="271"/>
      <c r="B1844" s="268"/>
      <c r="C1844" s="23" t="s">
        <v>6</v>
      </c>
      <c r="D1844" s="265">
        <v>5</v>
      </c>
      <c r="E1844" s="98" t="s">
        <v>58</v>
      </c>
      <c r="F1844" s="15">
        <v>13.5</v>
      </c>
      <c r="G1844" s="35">
        <v>101</v>
      </c>
      <c r="H1844" s="78" t="s">
        <v>411</v>
      </c>
    </row>
    <row r="1845" spans="1:8" x14ac:dyDescent="0.25">
      <c r="A1845" s="271"/>
      <c r="B1845" s="268"/>
      <c r="C1845" s="23" t="s">
        <v>6</v>
      </c>
      <c r="D1845" s="263"/>
      <c r="E1845" s="98" t="s">
        <v>110</v>
      </c>
      <c r="F1845" s="15">
        <v>3</v>
      </c>
      <c r="G1845" s="35">
        <v>101</v>
      </c>
      <c r="H1845" s="78"/>
    </row>
    <row r="1846" spans="1:8" x14ac:dyDescent="0.25">
      <c r="A1846" s="271"/>
      <c r="B1846" s="268"/>
      <c r="C1846" s="23" t="s">
        <v>6</v>
      </c>
      <c r="D1846" s="263"/>
      <c r="E1846" s="98" t="s">
        <v>206</v>
      </c>
      <c r="F1846" s="15">
        <v>5</v>
      </c>
      <c r="G1846" s="35">
        <v>101</v>
      </c>
      <c r="H1846" s="78"/>
    </row>
    <row r="1847" spans="1:8" x14ac:dyDescent="0.25">
      <c r="A1847" s="271"/>
      <c r="B1847" s="268"/>
      <c r="C1847" s="23" t="s">
        <v>6</v>
      </c>
      <c r="D1847" s="263"/>
      <c r="E1847" s="98" t="s">
        <v>214</v>
      </c>
      <c r="F1847" s="15">
        <v>2</v>
      </c>
      <c r="G1847" s="35">
        <v>101</v>
      </c>
      <c r="H1847" s="78" t="s">
        <v>412</v>
      </c>
    </row>
    <row r="1848" spans="1:8" ht="31.5" x14ac:dyDescent="0.25">
      <c r="A1848" s="271"/>
      <c r="B1848" s="268"/>
      <c r="C1848" s="23" t="s">
        <v>6</v>
      </c>
      <c r="D1848" s="263"/>
      <c r="E1848" s="98" t="s">
        <v>280</v>
      </c>
      <c r="F1848" s="15"/>
      <c r="G1848" s="35">
        <v>101</v>
      </c>
      <c r="H1848" s="88" t="s">
        <v>375</v>
      </c>
    </row>
    <row r="1849" spans="1:8" x14ac:dyDescent="0.25">
      <c r="A1849" s="271"/>
      <c r="B1849" s="268"/>
      <c r="C1849" s="23" t="s">
        <v>6</v>
      </c>
      <c r="D1849" s="263"/>
      <c r="E1849" s="98" t="s">
        <v>208</v>
      </c>
      <c r="F1849" s="15">
        <v>12</v>
      </c>
      <c r="G1849" s="35">
        <v>101</v>
      </c>
      <c r="H1849" s="78"/>
    </row>
    <row r="1850" spans="1:8" x14ac:dyDescent="0.25">
      <c r="A1850" s="271"/>
      <c r="B1850" s="268"/>
      <c r="C1850" s="23" t="s">
        <v>6</v>
      </c>
      <c r="D1850" s="264"/>
      <c r="E1850" s="98" t="s">
        <v>214</v>
      </c>
      <c r="F1850" s="15">
        <v>6</v>
      </c>
      <c r="G1850" s="35">
        <v>111</v>
      </c>
      <c r="H1850" s="78" t="s">
        <v>412</v>
      </c>
    </row>
    <row r="1851" spans="1:8" x14ac:dyDescent="0.25">
      <c r="A1851" s="272"/>
      <c r="B1851" s="269"/>
      <c r="C1851" s="23" t="s">
        <v>6</v>
      </c>
      <c r="D1851" s="248">
        <v>3</v>
      </c>
      <c r="E1851" s="98" t="s">
        <v>408</v>
      </c>
      <c r="F1851" s="15">
        <v>4.2</v>
      </c>
      <c r="G1851" s="35" t="s">
        <v>413</v>
      </c>
      <c r="H1851" s="78"/>
    </row>
    <row r="1852" spans="1:8" x14ac:dyDescent="0.25">
      <c r="A1852" s="258">
        <v>46174</v>
      </c>
      <c r="B1852" s="261" t="s">
        <v>5</v>
      </c>
      <c r="C1852" s="25" t="s">
        <v>6</v>
      </c>
      <c r="D1852" s="265">
        <v>4</v>
      </c>
      <c r="E1852" s="98" t="s">
        <v>260</v>
      </c>
      <c r="F1852" s="15">
        <v>58</v>
      </c>
      <c r="G1852" s="35">
        <v>116</v>
      </c>
      <c r="H1852" s="78"/>
    </row>
    <row r="1853" spans="1:8" x14ac:dyDescent="0.25">
      <c r="A1853" s="271"/>
      <c r="B1853" s="268"/>
      <c r="C1853" s="25" t="s">
        <v>6</v>
      </c>
      <c r="D1853" s="264"/>
      <c r="E1853" s="98" t="s">
        <v>404</v>
      </c>
      <c r="F1853" s="15">
        <v>38</v>
      </c>
      <c r="G1853" s="35">
        <v>116</v>
      </c>
      <c r="H1853" s="78" t="s">
        <v>405</v>
      </c>
    </row>
    <row r="1854" spans="1:8" x14ac:dyDescent="0.25">
      <c r="A1854" s="271"/>
      <c r="B1854" s="268"/>
      <c r="C1854" s="25" t="s">
        <v>6</v>
      </c>
      <c r="D1854" s="265">
        <v>3</v>
      </c>
      <c r="E1854" s="98" t="s">
        <v>90</v>
      </c>
      <c r="F1854" s="15">
        <v>21</v>
      </c>
      <c r="G1854" s="35">
        <v>116</v>
      </c>
      <c r="H1854" s="78"/>
    </row>
    <row r="1855" spans="1:8" x14ac:dyDescent="0.25">
      <c r="A1855" s="271"/>
      <c r="B1855" s="268"/>
      <c r="C1855" s="25" t="s">
        <v>6</v>
      </c>
      <c r="D1855" s="264"/>
      <c r="E1855" s="98" t="s">
        <v>456</v>
      </c>
      <c r="F1855" s="15">
        <v>32</v>
      </c>
      <c r="G1855" s="35">
        <v>116</v>
      </c>
      <c r="H1855" s="78"/>
    </row>
    <row r="1856" spans="1:8" ht="30" x14ac:dyDescent="0.25">
      <c r="A1856" s="271"/>
      <c r="B1856" s="268"/>
      <c r="C1856" s="25" t="s">
        <v>6</v>
      </c>
      <c r="D1856" s="248">
        <v>3</v>
      </c>
      <c r="E1856" s="98" t="s">
        <v>319</v>
      </c>
      <c r="F1856" s="15">
        <v>16</v>
      </c>
      <c r="G1856" s="35">
        <v>116</v>
      </c>
      <c r="H1856" s="78"/>
    </row>
    <row r="1857" spans="1:8" x14ac:dyDescent="0.25">
      <c r="A1857" s="271"/>
      <c r="B1857" s="268"/>
      <c r="C1857" s="25" t="s">
        <v>6</v>
      </c>
      <c r="D1857" s="265">
        <v>4</v>
      </c>
      <c r="E1857" s="98" t="s">
        <v>147</v>
      </c>
      <c r="F1857" s="15">
        <v>4</v>
      </c>
      <c r="G1857" s="35">
        <v>101</v>
      </c>
      <c r="H1857" s="78"/>
    </row>
    <row r="1858" spans="1:8" x14ac:dyDescent="0.25">
      <c r="A1858" s="271"/>
      <c r="B1858" s="268"/>
      <c r="C1858" s="25" t="s">
        <v>6</v>
      </c>
      <c r="D1858" s="263"/>
      <c r="E1858" s="98" t="s">
        <v>410</v>
      </c>
      <c r="F1858" s="15">
        <v>3</v>
      </c>
      <c r="G1858" s="35">
        <v>101</v>
      </c>
      <c r="H1858" s="78"/>
    </row>
    <row r="1859" spans="1:8" x14ac:dyDescent="0.25">
      <c r="A1859" s="271"/>
      <c r="B1859" s="268"/>
      <c r="C1859" s="25" t="s">
        <v>6</v>
      </c>
      <c r="D1859" s="263"/>
      <c r="E1859" s="98" t="s">
        <v>96</v>
      </c>
      <c r="F1859" s="15">
        <v>8</v>
      </c>
      <c r="G1859" s="35">
        <v>101</v>
      </c>
      <c r="H1859" s="78"/>
    </row>
    <row r="1860" spans="1:8" x14ac:dyDescent="0.25">
      <c r="A1860" s="271"/>
      <c r="B1860" s="268"/>
      <c r="C1860" s="25" t="s">
        <v>6</v>
      </c>
      <c r="D1860" s="264"/>
      <c r="E1860" s="167" t="s">
        <v>446</v>
      </c>
      <c r="F1860" s="15">
        <v>10</v>
      </c>
      <c r="G1860" s="35">
        <v>116</v>
      </c>
      <c r="H1860" s="78"/>
    </row>
    <row r="1861" spans="1:8" x14ac:dyDescent="0.25">
      <c r="A1861" s="271"/>
      <c r="B1861" s="268"/>
      <c r="C1861" s="25" t="s">
        <v>6</v>
      </c>
      <c r="D1861" s="248">
        <v>4</v>
      </c>
      <c r="E1861" s="98" t="s">
        <v>345</v>
      </c>
      <c r="F1861" s="15">
        <v>90</v>
      </c>
      <c r="G1861" s="35">
        <v>111</v>
      </c>
      <c r="H1861" s="78"/>
    </row>
    <row r="1862" spans="1:8" x14ac:dyDescent="0.25">
      <c r="A1862" s="271"/>
      <c r="B1862" s="268"/>
      <c r="C1862" s="25" t="s">
        <v>6</v>
      </c>
      <c r="D1862" s="248">
        <v>4</v>
      </c>
      <c r="E1862" s="98" t="s">
        <v>345</v>
      </c>
      <c r="F1862" s="15">
        <v>100</v>
      </c>
      <c r="G1862" s="35">
        <v>101</v>
      </c>
      <c r="H1862" s="78"/>
    </row>
    <row r="1863" spans="1:8" x14ac:dyDescent="0.25">
      <c r="A1863" s="271"/>
      <c r="B1863" s="268"/>
      <c r="C1863" s="25" t="s">
        <v>6</v>
      </c>
      <c r="D1863" s="265">
        <v>3</v>
      </c>
      <c r="E1863" s="164" t="s">
        <v>455</v>
      </c>
      <c r="F1863" s="15">
        <v>2</v>
      </c>
      <c r="G1863" s="35">
        <v>117</v>
      </c>
      <c r="H1863" s="78"/>
    </row>
    <row r="1864" spans="1:8" x14ac:dyDescent="0.25">
      <c r="A1864" s="271"/>
      <c r="B1864" s="268"/>
      <c r="C1864" s="25" t="s">
        <v>6</v>
      </c>
      <c r="D1864" s="263"/>
      <c r="E1864" s="98" t="s">
        <v>402</v>
      </c>
      <c r="F1864" s="15">
        <v>1</v>
      </c>
      <c r="G1864" s="35">
        <v>117</v>
      </c>
      <c r="H1864" s="78"/>
    </row>
    <row r="1865" spans="1:8" x14ac:dyDescent="0.25">
      <c r="A1865" s="271"/>
      <c r="B1865" s="268"/>
      <c r="C1865" s="25" t="s">
        <v>6</v>
      </c>
      <c r="D1865" s="263"/>
      <c r="E1865" s="98" t="s">
        <v>271</v>
      </c>
      <c r="F1865" s="15">
        <v>7</v>
      </c>
      <c r="G1865" s="35">
        <v>117</v>
      </c>
      <c r="H1865" s="78"/>
    </row>
    <row r="1866" spans="1:8" x14ac:dyDescent="0.25">
      <c r="A1866" s="271"/>
      <c r="B1866" s="268"/>
      <c r="C1866" s="25" t="s">
        <v>6</v>
      </c>
      <c r="D1866" s="264"/>
      <c r="E1866" s="98" t="s">
        <v>26</v>
      </c>
      <c r="F1866" s="15">
        <v>10</v>
      </c>
      <c r="G1866" s="35">
        <v>117</v>
      </c>
      <c r="H1866" s="78"/>
    </row>
    <row r="1867" spans="1:8" x14ac:dyDescent="0.25">
      <c r="A1867" s="271"/>
      <c r="B1867" s="268"/>
      <c r="C1867" s="25" t="s">
        <v>6</v>
      </c>
      <c r="D1867" s="265">
        <v>3</v>
      </c>
      <c r="E1867" s="164" t="s">
        <v>455</v>
      </c>
      <c r="F1867" s="15">
        <v>2</v>
      </c>
      <c r="G1867" s="35">
        <v>101</v>
      </c>
      <c r="H1867" s="78"/>
    </row>
    <row r="1868" spans="1:8" x14ac:dyDescent="0.25">
      <c r="A1868" s="271"/>
      <c r="B1868" s="268"/>
      <c r="C1868" s="25" t="s">
        <v>6</v>
      </c>
      <c r="D1868" s="263"/>
      <c r="E1868" s="166" t="s">
        <v>498</v>
      </c>
      <c r="F1868" s="15">
        <v>4</v>
      </c>
      <c r="G1868" s="35">
        <v>101</v>
      </c>
      <c r="H1868" s="78"/>
    </row>
    <row r="1869" spans="1:8" x14ac:dyDescent="0.25">
      <c r="A1869" s="271"/>
      <c r="B1869" s="268"/>
      <c r="C1869" s="25" t="s">
        <v>6</v>
      </c>
      <c r="D1869" s="264"/>
      <c r="E1869" s="98" t="s">
        <v>272</v>
      </c>
      <c r="F1869" s="15">
        <v>20</v>
      </c>
      <c r="G1869" s="35">
        <v>101</v>
      </c>
      <c r="H1869" s="78"/>
    </row>
    <row r="1870" spans="1:8" x14ac:dyDescent="0.25">
      <c r="A1870" s="271"/>
      <c r="B1870" s="268"/>
      <c r="C1870" s="25" t="s">
        <v>6</v>
      </c>
      <c r="D1870" s="265">
        <v>3</v>
      </c>
      <c r="E1870" s="98" t="s">
        <v>402</v>
      </c>
      <c r="F1870" s="15">
        <v>4</v>
      </c>
      <c r="G1870" s="35">
        <v>116</v>
      </c>
      <c r="H1870" s="78"/>
    </row>
    <row r="1871" spans="1:8" x14ac:dyDescent="0.25">
      <c r="A1871" s="271"/>
      <c r="B1871" s="268"/>
      <c r="C1871" s="25" t="s">
        <v>6</v>
      </c>
      <c r="D1871" s="263"/>
      <c r="E1871" s="98" t="s">
        <v>271</v>
      </c>
      <c r="F1871" s="15">
        <v>9</v>
      </c>
      <c r="G1871" s="35">
        <v>112</v>
      </c>
      <c r="H1871" s="78"/>
    </row>
    <row r="1872" spans="1:8" x14ac:dyDescent="0.25">
      <c r="A1872" s="271"/>
      <c r="B1872" s="268"/>
      <c r="C1872" s="25" t="s">
        <v>6</v>
      </c>
      <c r="D1872" s="264"/>
      <c r="E1872" s="98" t="s">
        <v>26</v>
      </c>
      <c r="F1872" s="15">
        <v>10</v>
      </c>
      <c r="G1872" s="35">
        <v>112</v>
      </c>
      <c r="H1872" s="78"/>
    </row>
    <row r="1873" spans="1:8" x14ac:dyDescent="0.25">
      <c r="A1873" s="271"/>
      <c r="B1873" s="268"/>
      <c r="C1873" s="25" t="s">
        <v>13</v>
      </c>
      <c r="D1873" s="265">
        <v>2</v>
      </c>
      <c r="E1873" s="98" t="s">
        <v>151</v>
      </c>
      <c r="F1873" s="15">
        <v>10</v>
      </c>
      <c r="G1873" s="35" t="s">
        <v>75</v>
      </c>
      <c r="H1873" s="78"/>
    </row>
    <row r="1874" spans="1:8" x14ac:dyDescent="0.25">
      <c r="A1874" s="271"/>
      <c r="B1874" s="268"/>
      <c r="C1874" s="25" t="s">
        <v>13</v>
      </c>
      <c r="D1874" s="264"/>
      <c r="E1874" s="98" t="s">
        <v>144</v>
      </c>
      <c r="F1874" s="15">
        <v>10</v>
      </c>
      <c r="G1874" s="35" t="s">
        <v>75</v>
      </c>
      <c r="H1874" s="78"/>
    </row>
    <row r="1875" spans="1:8" ht="16.5" thickBot="1" x14ac:dyDescent="0.3">
      <c r="A1875" s="275"/>
      <c r="B1875" s="273"/>
      <c r="C1875" s="51" t="s">
        <v>13</v>
      </c>
      <c r="D1875" s="91">
        <v>2</v>
      </c>
      <c r="E1875" s="159" t="s">
        <v>229</v>
      </c>
      <c r="F1875" s="50"/>
      <c r="G1875" s="35" t="s">
        <v>75</v>
      </c>
      <c r="H1875" s="79"/>
    </row>
    <row r="1876" spans="1:8" x14ac:dyDescent="0.25">
      <c r="A1876" s="270">
        <v>46175</v>
      </c>
      <c r="B1876" s="267" t="s">
        <v>36</v>
      </c>
      <c r="C1876" s="74" t="s">
        <v>6</v>
      </c>
      <c r="D1876" s="262">
        <v>12</v>
      </c>
      <c r="E1876" s="165" t="s">
        <v>271</v>
      </c>
      <c r="F1876" s="75">
        <v>106</v>
      </c>
      <c r="G1876" s="76">
        <v>116</v>
      </c>
      <c r="H1876" s="77" t="s">
        <v>100</v>
      </c>
    </row>
    <row r="1877" spans="1:8" x14ac:dyDescent="0.25">
      <c r="A1877" s="271"/>
      <c r="B1877" s="268"/>
      <c r="C1877" s="23" t="s">
        <v>6</v>
      </c>
      <c r="D1877" s="263"/>
      <c r="E1877" s="98" t="s">
        <v>260</v>
      </c>
      <c r="F1877" s="15">
        <v>100</v>
      </c>
      <c r="G1877" s="70">
        <v>116</v>
      </c>
      <c r="H1877" s="78"/>
    </row>
    <row r="1878" spans="1:8" x14ac:dyDescent="0.25">
      <c r="A1878" s="271"/>
      <c r="B1878" s="268"/>
      <c r="C1878" s="23" t="s">
        <v>6</v>
      </c>
      <c r="D1878" s="264"/>
      <c r="E1878" s="98" t="s">
        <v>408</v>
      </c>
      <c r="F1878" s="15">
        <v>1</v>
      </c>
      <c r="G1878" s="35">
        <v>102</v>
      </c>
      <c r="H1878" s="176" t="s">
        <v>100</v>
      </c>
    </row>
    <row r="1879" spans="1:8" x14ac:dyDescent="0.25">
      <c r="A1879" s="271"/>
      <c r="B1879" s="268"/>
      <c r="C1879" s="23" t="s">
        <v>6</v>
      </c>
      <c r="D1879" s="265">
        <v>5</v>
      </c>
      <c r="E1879" s="98" t="s">
        <v>90</v>
      </c>
      <c r="F1879" s="15">
        <v>8</v>
      </c>
      <c r="G1879" s="35">
        <v>117</v>
      </c>
      <c r="H1879" s="78"/>
    </row>
    <row r="1880" spans="1:8" x14ac:dyDescent="0.25">
      <c r="A1880" s="271"/>
      <c r="B1880" s="268"/>
      <c r="C1880" s="23" t="s">
        <v>6</v>
      </c>
      <c r="D1880" s="263"/>
      <c r="E1880" s="98" t="s">
        <v>415</v>
      </c>
      <c r="F1880" s="15">
        <v>1.5</v>
      </c>
      <c r="G1880" s="35">
        <v>117</v>
      </c>
      <c r="H1880" s="78"/>
    </row>
    <row r="1881" spans="1:8" x14ac:dyDescent="0.25">
      <c r="A1881" s="271"/>
      <c r="B1881" s="268"/>
      <c r="C1881" s="23" t="s">
        <v>6</v>
      </c>
      <c r="D1881" s="263"/>
      <c r="E1881" s="98" t="s">
        <v>416</v>
      </c>
      <c r="F1881" s="15">
        <v>24.5</v>
      </c>
      <c r="G1881" s="35">
        <v>117</v>
      </c>
      <c r="H1881" s="78"/>
    </row>
    <row r="1882" spans="1:8" x14ac:dyDescent="0.25">
      <c r="A1882" s="271"/>
      <c r="B1882" s="268"/>
      <c r="C1882" s="23" t="s">
        <v>6</v>
      </c>
      <c r="D1882" s="263"/>
      <c r="E1882" s="98" t="s">
        <v>26</v>
      </c>
      <c r="F1882" s="15">
        <v>20</v>
      </c>
      <c r="G1882" s="35">
        <v>117</v>
      </c>
      <c r="H1882" s="78"/>
    </row>
    <row r="1883" spans="1:8" x14ac:dyDescent="0.25">
      <c r="A1883" s="271"/>
      <c r="B1883" s="268"/>
      <c r="C1883" s="23" t="s">
        <v>6</v>
      </c>
      <c r="D1883" s="263"/>
      <c r="E1883" s="98" t="s">
        <v>207</v>
      </c>
      <c r="F1883" s="15"/>
      <c r="G1883" s="35">
        <v>117</v>
      </c>
      <c r="H1883" s="78"/>
    </row>
    <row r="1884" spans="1:8" ht="31.5" x14ac:dyDescent="0.25">
      <c r="A1884" s="271"/>
      <c r="B1884" s="268"/>
      <c r="C1884" s="23" t="s">
        <v>6</v>
      </c>
      <c r="D1884" s="263"/>
      <c r="E1884" s="98" t="s">
        <v>280</v>
      </c>
      <c r="F1884" s="15"/>
      <c r="G1884" s="35">
        <v>117</v>
      </c>
      <c r="H1884" s="88" t="s">
        <v>375</v>
      </c>
    </row>
    <row r="1885" spans="1:8" x14ac:dyDescent="0.25">
      <c r="A1885" s="271"/>
      <c r="B1885" s="268"/>
      <c r="C1885" s="23" t="s">
        <v>6</v>
      </c>
      <c r="D1885" s="264"/>
      <c r="E1885" s="98" t="s">
        <v>415</v>
      </c>
      <c r="F1885" s="15">
        <v>4</v>
      </c>
      <c r="G1885" s="35">
        <v>117</v>
      </c>
      <c r="H1885" s="78"/>
    </row>
    <row r="1886" spans="1:8" x14ac:dyDescent="0.25">
      <c r="A1886" s="271"/>
      <c r="B1886" s="268"/>
      <c r="C1886" s="25" t="s">
        <v>13</v>
      </c>
      <c r="D1886" s="265">
        <v>6</v>
      </c>
      <c r="E1886" s="98" t="s">
        <v>90</v>
      </c>
      <c r="F1886" s="15">
        <v>7.5</v>
      </c>
      <c r="G1886" s="35">
        <v>101</v>
      </c>
      <c r="H1886" s="78"/>
    </row>
    <row r="1887" spans="1:8" x14ac:dyDescent="0.25">
      <c r="A1887" s="271"/>
      <c r="B1887" s="268"/>
      <c r="C1887" s="25" t="s">
        <v>13</v>
      </c>
      <c r="D1887" s="263"/>
      <c r="E1887" s="98" t="s">
        <v>90</v>
      </c>
      <c r="F1887" s="15">
        <v>7.5</v>
      </c>
      <c r="G1887" s="35">
        <v>111</v>
      </c>
      <c r="H1887" s="78"/>
    </row>
    <row r="1888" spans="1:8" ht="31.5" x14ac:dyDescent="0.25">
      <c r="A1888" s="271"/>
      <c r="B1888" s="269"/>
      <c r="C1888" s="25" t="s">
        <v>13</v>
      </c>
      <c r="D1888" s="264"/>
      <c r="E1888" s="98" t="s">
        <v>280</v>
      </c>
      <c r="F1888" s="15"/>
      <c r="G1888" s="35">
        <v>111</v>
      </c>
      <c r="H1888" s="88" t="s">
        <v>375</v>
      </c>
    </row>
    <row r="1889" spans="1:8" x14ac:dyDescent="0.25">
      <c r="A1889" s="257">
        <v>46175</v>
      </c>
      <c r="B1889" s="261" t="s">
        <v>5</v>
      </c>
      <c r="C1889" s="25" t="s">
        <v>6</v>
      </c>
      <c r="D1889" s="248">
        <v>8</v>
      </c>
      <c r="E1889" s="98" t="s">
        <v>404</v>
      </c>
      <c r="F1889" s="15">
        <v>170</v>
      </c>
      <c r="G1889" s="35" t="s">
        <v>165</v>
      </c>
      <c r="H1889" s="78" t="s">
        <v>405</v>
      </c>
    </row>
    <row r="1890" spans="1:8" x14ac:dyDescent="0.25">
      <c r="A1890" s="257"/>
      <c r="B1890" s="268"/>
      <c r="C1890" s="25" t="s">
        <v>6</v>
      </c>
      <c r="D1890" s="248">
        <v>4</v>
      </c>
      <c r="E1890" s="98" t="s">
        <v>408</v>
      </c>
      <c r="F1890" s="15">
        <v>40</v>
      </c>
      <c r="G1890" s="35" t="s">
        <v>165</v>
      </c>
      <c r="H1890" s="78"/>
    </row>
    <row r="1891" spans="1:8" x14ac:dyDescent="0.25">
      <c r="A1891" s="257"/>
      <c r="B1891" s="268"/>
      <c r="C1891" s="25" t="s">
        <v>6</v>
      </c>
      <c r="D1891" s="248">
        <v>4</v>
      </c>
      <c r="E1891" s="98" t="s">
        <v>267</v>
      </c>
      <c r="F1891" s="15">
        <v>21</v>
      </c>
      <c r="G1891" s="35">
        <v>112</v>
      </c>
      <c r="H1891" s="78"/>
    </row>
    <row r="1892" spans="1:8" x14ac:dyDescent="0.25">
      <c r="A1892" s="257"/>
      <c r="B1892" s="268"/>
      <c r="C1892" s="25" t="s">
        <v>6</v>
      </c>
      <c r="D1892" s="248"/>
      <c r="E1892" s="98" t="s">
        <v>267</v>
      </c>
      <c r="F1892" s="15">
        <v>21</v>
      </c>
      <c r="G1892" s="35">
        <v>117</v>
      </c>
      <c r="H1892" s="78"/>
    </row>
    <row r="1893" spans="1:8" x14ac:dyDescent="0.25">
      <c r="A1893" s="257"/>
      <c r="B1893" s="268"/>
      <c r="C1893" s="25" t="s">
        <v>6</v>
      </c>
      <c r="D1893" s="248">
        <v>4</v>
      </c>
      <c r="E1893" s="98" t="s">
        <v>90</v>
      </c>
      <c r="F1893" s="15">
        <v>15</v>
      </c>
      <c r="G1893" s="35">
        <v>116</v>
      </c>
      <c r="H1893" s="78"/>
    </row>
    <row r="1894" spans="1:8" x14ac:dyDescent="0.25">
      <c r="A1894" s="257"/>
      <c r="B1894" s="268"/>
      <c r="C1894" s="25" t="s">
        <v>6</v>
      </c>
      <c r="D1894" s="248"/>
      <c r="E1894" s="98" t="s">
        <v>456</v>
      </c>
      <c r="F1894" s="15">
        <v>20</v>
      </c>
      <c r="G1894" s="35">
        <v>117</v>
      </c>
      <c r="H1894" s="78"/>
    </row>
    <row r="1895" spans="1:8" x14ac:dyDescent="0.25">
      <c r="A1895" s="257"/>
      <c r="B1895" s="268"/>
      <c r="C1895" s="25" t="s">
        <v>6</v>
      </c>
      <c r="D1895" s="248">
        <v>4</v>
      </c>
      <c r="E1895" s="167" t="s">
        <v>446</v>
      </c>
      <c r="F1895" s="15">
        <v>6</v>
      </c>
      <c r="G1895" s="35">
        <v>116</v>
      </c>
      <c r="H1895" s="78"/>
    </row>
    <row r="1896" spans="1:8" x14ac:dyDescent="0.25">
      <c r="A1896" s="257"/>
      <c r="B1896" s="268"/>
      <c r="C1896" s="25" t="s">
        <v>6</v>
      </c>
      <c r="D1896" s="248"/>
      <c r="E1896" s="98" t="s">
        <v>147</v>
      </c>
      <c r="F1896" s="15">
        <v>2</v>
      </c>
      <c r="G1896" s="35">
        <v>111</v>
      </c>
      <c r="H1896" s="78"/>
    </row>
    <row r="1897" spans="1:8" x14ac:dyDescent="0.25">
      <c r="A1897" s="257"/>
      <c r="B1897" s="268"/>
      <c r="C1897" s="25" t="s">
        <v>6</v>
      </c>
      <c r="D1897" s="248"/>
      <c r="E1897" s="98" t="s">
        <v>410</v>
      </c>
      <c r="F1897" s="15">
        <v>2</v>
      </c>
      <c r="G1897" s="35">
        <v>112</v>
      </c>
      <c r="H1897" s="78"/>
    </row>
    <row r="1898" spans="1:8" x14ac:dyDescent="0.25">
      <c r="A1898" s="257"/>
      <c r="B1898" s="268"/>
      <c r="C1898" s="25" t="s">
        <v>6</v>
      </c>
      <c r="D1898" s="248">
        <v>2</v>
      </c>
      <c r="E1898" s="98" t="s">
        <v>329</v>
      </c>
      <c r="F1898" s="15">
        <v>2</v>
      </c>
      <c r="G1898" s="35" t="s">
        <v>322</v>
      </c>
      <c r="H1898" s="78" t="s">
        <v>417</v>
      </c>
    </row>
    <row r="1899" spans="1:8" x14ac:dyDescent="0.25">
      <c r="A1899" s="257"/>
      <c r="B1899" s="268"/>
      <c r="C1899" s="25" t="s">
        <v>6</v>
      </c>
      <c r="D1899" s="248">
        <v>2</v>
      </c>
      <c r="E1899" s="98" t="s">
        <v>229</v>
      </c>
      <c r="F1899" s="15"/>
      <c r="G1899" s="35"/>
      <c r="H1899" s="78"/>
    </row>
    <row r="1900" spans="1:8" ht="16.5" thickBot="1" x14ac:dyDescent="0.3">
      <c r="A1900" s="274"/>
      <c r="B1900" s="273"/>
      <c r="C1900" s="51" t="s">
        <v>7</v>
      </c>
      <c r="D1900" s="91">
        <v>3</v>
      </c>
      <c r="E1900" s="159" t="s">
        <v>256</v>
      </c>
      <c r="F1900" s="50"/>
      <c r="G1900" s="71"/>
      <c r="H1900" s="79"/>
    </row>
    <row r="1901" spans="1:8" x14ac:dyDescent="0.25">
      <c r="A1901" s="270">
        <v>46176</v>
      </c>
      <c r="B1901" s="267" t="s">
        <v>36</v>
      </c>
      <c r="C1901" s="74" t="s">
        <v>13</v>
      </c>
      <c r="D1901" s="247">
        <v>4</v>
      </c>
      <c r="E1901" s="165" t="s">
        <v>147</v>
      </c>
      <c r="F1901" s="75">
        <v>20</v>
      </c>
      <c r="G1901" s="76">
        <v>105</v>
      </c>
      <c r="H1901" s="77" t="s">
        <v>100</v>
      </c>
    </row>
    <row r="1902" spans="1:8" x14ac:dyDescent="0.25">
      <c r="A1902" s="271"/>
      <c r="B1902" s="268"/>
      <c r="C1902" s="25" t="s">
        <v>13</v>
      </c>
      <c r="D1902" s="248">
        <v>3</v>
      </c>
      <c r="E1902" s="98" t="s">
        <v>147</v>
      </c>
      <c r="F1902" s="15">
        <v>10</v>
      </c>
      <c r="G1902" s="35">
        <v>107</v>
      </c>
      <c r="H1902" s="176" t="s">
        <v>100</v>
      </c>
    </row>
    <row r="1903" spans="1:8" x14ac:dyDescent="0.25">
      <c r="A1903" s="271"/>
      <c r="B1903" s="268"/>
      <c r="C1903" s="25" t="s">
        <v>6</v>
      </c>
      <c r="D1903" s="248">
        <v>8</v>
      </c>
      <c r="E1903" s="98" t="s">
        <v>90</v>
      </c>
      <c r="F1903" s="15">
        <v>14</v>
      </c>
      <c r="G1903" s="35" t="s">
        <v>75</v>
      </c>
      <c r="H1903" s="78"/>
    </row>
    <row r="1904" spans="1:8" x14ac:dyDescent="0.25">
      <c r="A1904" s="271"/>
      <c r="B1904" s="268"/>
      <c r="C1904" s="25" t="s">
        <v>6</v>
      </c>
      <c r="D1904" s="248"/>
      <c r="E1904" s="98" t="s">
        <v>144</v>
      </c>
      <c r="F1904" s="15">
        <v>14</v>
      </c>
      <c r="G1904" s="35"/>
      <c r="H1904" s="78"/>
    </row>
    <row r="1905" spans="1:8" x14ac:dyDescent="0.25">
      <c r="A1905" s="272"/>
      <c r="B1905" s="269"/>
      <c r="C1905" s="25" t="s">
        <v>6</v>
      </c>
      <c r="D1905" s="248">
        <v>8</v>
      </c>
      <c r="E1905" s="98" t="s">
        <v>345</v>
      </c>
      <c r="F1905" s="15">
        <v>90</v>
      </c>
      <c r="G1905" s="35" t="s">
        <v>418</v>
      </c>
      <c r="H1905" s="78"/>
    </row>
    <row r="1906" spans="1:8" x14ac:dyDescent="0.25">
      <c r="A1906" s="258">
        <v>46176</v>
      </c>
      <c r="B1906" s="261" t="s">
        <v>5</v>
      </c>
      <c r="C1906" s="25" t="s">
        <v>6</v>
      </c>
      <c r="D1906" s="248">
        <v>8</v>
      </c>
      <c r="E1906" s="98" t="s">
        <v>345</v>
      </c>
      <c r="F1906" s="15">
        <v>90</v>
      </c>
      <c r="G1906" s="35" t="s">
        <v>418</v>
      </c>
      <c r="H1906" s="78"/>
    </row>
    <row r="1907" spans="1:8" x14ac:dyDescent="0.25">
      <c r="A1907" s="271"/>
      <c r="B1907" s="268"/>
      <c r="C1907" s="25" t="s">
        <v>6</v>
      </c>
      <c r="D1907" s="248">
        <v>4</v>
      </c>
      <c r="E1907" s="98" t="s">
        <v>151</v>
      </c>
      <c r="F1907" s="15">
        <v>15</v>
      </c>
      <c r="G1907" s="35" t="s">
        <v>75</v>
      </c>
      <c r="H1907" s="78"/>
    </row>
    <row r="1908" spans="1:8" x14ac:dyDescent="0.25">
      <c r="A1908" s="271"/>
      <c r="B1908" s="268"/>
      <c r="C1908" s="25" t="s">
        <v>6</v>
      </c>
      <c r="D1908" s="248">
        <v>10</v>
      </c>
      <c r="E1908" s="98" t="s">
        <v>151</v>
      </c>
      <c r="F1908" s="15">
        <v>30</v>
      </c>
      <c r="G1908" s="35" t="s">
        <v>75</v>
      </c>
      <c r="H1908" s="78"/>
    </row>
    <row r="1909" spans="1:8" x14ac:dyDescent="0.25">
      <c r="A1909" s="271"/>
      <c r="B1909" s="268"/>
      <c r="C1909" s="25" t="s">
        <v>6</v>
      </c>
      <c r="D1909" s="248"/>
      <c r="E1909" s="98" t="s">
        <v>144</v>
      </c>
      <c r="F1909" s="15"/>
      <c r="G1909" s="35"/>
      <c r="H1909" s="78"/>
    </row>
    <row r="1910" spans="1:8" x14ac:dyDescent="0.25">
      <c r="A1910" s="271"/>
      <c r="B1910" s="268"/>
      <c r="C1910" s="25" t="s">
        <v>6</v>
      </c>
      <c r="D1910" s="248">
        <v>4</v>
      </c>
      <c r="E1910" s="98" t="s">
        <v>419</v>
      </c>
      <c r="F1910" s="15">
        <v>65</v>
      </c>
      <c r="G1910" s="35" t="s">
        <v>421</v>
      </c>
      <c r="H1910" s="78"/>
    </row>
    <row r="1911" spans="1:8" x14ac:dyDescent="0.25">
      <c r="A1911" s="271"/>
      <c r="B1911" s="268"/>
      <c r="C1911" s="25" t="s">
        <v>6</v>
      </c>
      <c r="D1911" s="248">
        <v>2</v>
      </c>
      <c r="E1911" s="98" t="s">
        <v>420</v>
      </c>
      <c r="F1911" s="15">
        <v>10</v>
      </c>
      <c r="G1911" s="35">
        <v>116</v>
      </c>
      <c r="H1911" s="78"/>
    </row>
    <row r="1912" spans="1:8" x14ac:dyDescent="0.25">
      <c r="A1912" s="271"/>
      <c r="B1912" s="268"/>
      <c r="C1912" s="25" t="s">
        <v>6</v>
      </c>
      <c r="D1912" s="248">
        <v>3</v>
      </c>
      <c r="E1912" s="98" t="s">
        <v>200</v>
      </c>
      <c r="F1912" s="15">
        <v>10</v>
      </c>
      <c r="G1912" s="35">
        <v>112</v>
      </c>
      <c r="H1912" s="78"/>
    </row>
    <row r="1913" spans="1:8" x14ac:dyDescent="0.25">
      <c r="A1913" s="271"/>
      <c r="B1913" s="268"/>
      <c r="C1913" s="25" t="s">
        <v>6</v>
      </c>
      <c r="D1913" s="248">
        <v>2</v>
      </c>
      <c r="E1913" s="98" t="s">
        <v>229</v>
      </c>
      <c r="F1913" s="15"/>
      <c r="G1913" s="35"/>
      <c r="H1913" s="78"/>
    </row>
    <row r="1914" spans="1:8" ht="16.5" thickBot="1" x14ac:dyDescent="0.3">
      <c r="A1914" s="271"/>
      <c r="B1914" s="268"/>
      <c r="C1914" s="24" t="s">
        <v>13</v>
      </c>
      <c r="D1914" s="245">
        <v>3</v>
      </c>
      <c r="E1914" s="123" t="s">
        <v>256</v>
      </c>
      <c r="F1914" s="175"/>
      <c r="G1914" s="67"/>
      <c r="H1914" s="88"/>
    </row>
    <row r="1915" spans="1:8" x14ac:dyDescent="0.25">
      <c r="A1915" s="256">
        <v>46177</v>
      </c>
      <c r="B1915" s="259" t="s">
        <v>36</v>
      </c>
      <c r="C1915" s="74" t="s">
        <v>6</v>
      </c>
      <c r="D1915" s="266">
        <v>5</v>
      </c>
      <c r="E1915" s="165" t="s">
        <v>449</v>
      </c>
      <c r="F1915" s="75">
        <v>32</v>
      </c>
      <c r="G1915" s="90">
        <v>116</v>
      </c>
      <c r="H1915" s="77" t="s">
        <v>422</v>
      </c>
    </row>
    <row r="1916" spans="1:8" x14ac:dyDescent="0.25">
      <c r="A1916" s="257"/>
      <c r="B1916" s="260"/>
      <c r="C1916" s="25" t="s">
        <v>6</v>
      </c>
      <c r="D1916" s="255"/>
      <c r="E1916" s="98" t="s">
        <v>260</v>
      </c>
      <c r="F1916" s="15">
        <v>30</v>
      </c>
      <c r="G1916" s="89">
        <v>116</v>
      </c>
      <c r="H1916" s="78" t="s">
        <v>125</v>
      </c>
    </row>
    <row r="1917" spans="1:8" x14ac:dyDescent="0.25">
      <c r="A1917" s="257"/>
      <c r="B1917" s="260"/>
      <c r="C1917" s="25" t="s">
        <v>6</v>
      </c>
      <c r="D1917" s="255"/>
      <c r="E1917" s="98" t="s">
        <v>280</v>
      </c>
      <c r="F1917" s="15"/>
      <c r="G1917" s="89">
        <v>116</v>
      </c>
      <c r="H1917" s="78" t="s">
        <v>423</v>
      </c>
    </row>
    <row r="1918" spans="1:8" x14ac:dyDescent="0.25">
      <c r="A1918" s="257"/>
      <c r="B1918" s="260"/>
      <c r="C1918" s="25" t="s">
        <v>6</v>
      </c>
      <c r="D1918" s="255"/>
      <c r="E1918" s="98" t="s">
        <v>415</v>
      </c>
      <c r="F1918" s="15">
        <v>5</v>
      </c>
      <c r="G1918" s="89">
        <v>116</v>
      </c>
      <c r="H1918" s="78" t="s">
        <v>424</v>
      </c>
    </row>
    <row r="1919" spans="1:8" x14ac:dyDescent="0.25">
      <c r="A1919" s="257"/>
      <c r="B1919" s="260"/>
      <c r="C1919" s="25" t="s">
        <v>6</v>
      </c>
      <c r="D1919" s="255">
        <v>8</v>
      </c>
      <c r="E1919" s="98" t="s">
        <v>144</v>
      </c>
      <c r="F1919" s="15"/>
      <c r="G1919" s="89" t="s">
        <v>75</v>
      </c>
      <c r="H1919" s="78"/>
    </row>
    <row r="1920" spans="1:8" x14ac:dyDescent="0.25">
      <c r="A1920" s="257"/>
      <c r="B1920" s="260"/>
      <c r="C1920" s="25" t="s">
        <v>6</v>
      </c>
      <c r="D1920" s="255"/>
      <c r="E1920" s="98" t="s">
        <v>90</v>
      </c>
      <c r="F1920" s="15">
        <v>12</v>
      </c>
      <c r="G1920" s="89" t="s">
        <v>75</v>
      </c>
      <c r="H1920" s="78"/>
    </row>
    <row r="1921" spans="1:8" ht="31.5" x14ac:dyDescent="0.25">
      <c r="A1921" s="257"/>
      <c r="B1921" s="260"/>
      <c r="C1921" s="25" t="s">
        <v>6</v>
      </c>
      <c r="D1921" s="255"/>
      <c r="E1921" s="98" t="s">
        <v>280</v>
      </c>
      <c r="F1921" s="15"/>
      <c r="G1921" s="89" t="s">
        <v>75</v>
      </c>
      <c r="H1921" s="78" t="s">
        <v>375</v>
      </c>
    </row>
    <row r="1922" spans="1:8" x14ac:dyDescent="0.25">
      <c r="A1922" s="257"/>
      <c r="B1922" s="260"/>
      <c r="C1922" s="25" t="s">
        <v>6</v>
      </c>
      <c r="D1922" s="255"/>
      <c r="E1922" s="98" t="s">
        <v>206</v>
      </c>
      <c r="F1922" s="15">
        <v>4</v>
      </c>
      <c r="G1922" s="89">
        <v>107</v>
      </c>
      <c r="H1922" s="78"/>
    </row>
    <row r="1923" spans="1:8" x14ac:dyDescent="0.25">
      <c r="A1923" s="257"/>
      <c r="B1923" s="260"/>
      <c r="C1923" s="25" t="s">
        <v>13</v>
      </c>
      <c r="D1923" s="255">
        <v>6</v>
      </c>
      <c r="E1923" s="98" t="s">
        <v>147</v>
      </c>
      <c r="F1923" s="15">
        <v>35</v>
      </c>
      <c r="G1923" s="89">
        <v>107</v>
      </c>
      <c r="H1923" s="78" t="s">
        <v>125</v>
      </c>
    </row>
    <row r="1924" spans="1:8" x14ac:dyDescent="0.25">
      <c r="A1924" s="257"/>
      <c r="B1924" s="260"/>
      <c r="C1924" s="25" t="s">
        <v>13</v>
      </c>
      <c r="D1924" s="255"/>
      <c r="E1924" s="98" t="s">
        <v>356</v>
      </c>
      <c r="F1924" s="15">
        <v>2</v>
      </c>
      <c r="G1924" s="89">
        <v>107</v>
      </c>
      <c r="H1924" s="78"/>
    </row>
    <row r="1925" spans="1:8" x14ac:dyDescent="0.25">
      <c r="A1925" s="257"/>
      <c r="B1925" s="260"/>
      <c r="C1925" s="25" t="s">
        <v>13</v>
      </c>
      <c r="D1925" s="255"/>
      <c r="E1925" s="98" t="s">
        <v>217</v>
      </c>
      <c r="F1925" s="15">
        <v>72</v>
      </c>
      <c r="G1925" s="89">
        <v>107</v>
      </c>
      <c r="H1925" s="78"/>
    </row>
    <row r="1926" spans="1:8" x14ac:dyDescent="0.25">
      <c r="A1926" s="257"/>
      <c r="B1926" s="260"/>
      <c r="C1926" s="25" t="s">
        <v>13</v>
      </c>
      <c r="D1926" s="255"/>
      <c r="E1926" s="98" t="s">
        <v>280</v>
      </c>
      <c r="F1926" s="15"/>
      <c r="G1926" s="89">
        <v>107</v>
      </c>
      <c r="H1926" s="78"/>
    </row>
    <row r="1927" spans="1:8" x14ac:dyDescent="0.25">
      <c r="A1927" s="257"/>
      <c r="B1927" s="260"/>
      <c r="C1927" s="25" t="s">
        <v>6</v>
      </c>
      <c r="D1927" s="255">
        <v>3</v>
      </c>
      <c r="E1927" s="98" t="s">
        <v>408</v>
      </c>
      <c r="F1927" s="15">
        <v>2</v>
      </c>
      <c r="G1927" s="89">
        <v>109</v>
      </c>
      <c r="H1927" s="78" t="s">
        <v>125</v>
      </c>
    </row>
    <row r="1928" spans="1:8" x14ac:dyDescent="0.25">
      <c r="A1928" s="257"/>
      <c r="B1928" s="260"/>
      <c r="C1928" s="25" t="s">
        <v>6</v>
      </c>
      <c r="D1928" s="255"/>
      <c r="E1928" s="98" t="s">
        <v>425</v>
      </c>
      <c r="F1928" s="15">
        <v>0.5</v>
      </c>
      <c r="G1928" s="89">
        <v>109</v>
      </c>
      <c r="H1928" s="78"/>
    </row>
    <row r="1929" spans="1:8" ht="31.5" x14ac:dyDescent="0.25">
      <c r="A1929" s="257"/>
      <c r="B1929" s="260"/>
      <c r="C1929" s="25" t="s">
        <v>6</v>
      </c>
      <c r="D1929" s="255"/>
      <c r="E1929" s="98" t="s">
        <v>408</v>
      </c>
      <c r="F1929" s="15">
        <v>2</v>
      </c>
      <c r="G1929" s="89">
        <v>108</v>
      </c>
      <c r="H1929" s="78" t="s">
        <v>262</v>
      </c>
    </row>
    <row r="1930" spans="1:8" x14ac:dyDescent="0.25">
      <c r="A1930" s="257"/>
      <c r="B1930" s="260"/>
      <c r="C1930" s="25" t="s">
        <v>6</v>
      </c>
      <c r="D1930" s="255"/>
      <c r="E1930" s="98" t="s">
        <v>425</v>
      </c>
      <c r="F1930" s="15">
        <v>0.5</v>
      </c>
      <c r="G1930" s="89">
        <v>108</v>
      </c>
      <c r="H1930" s="78"/>
    </row>
    <row r="1931" spans="1:8" x14ac:dyDescent="0.25">
      <c r="A1931" s="257">
        <v>46177</v>
      </c>
      <c r="B1931" s="260" t="s">
        <v>5</v>
      </c>
      <c r="C1931" s="25" t="s">
        <v>6</v>
      </c>
      <c r="D1931" s="248">
        <v>4</v>
      </c>
      <c r="E1931" s="98" t="s">
        <v>345</v>
      </c>
      <c r="F1931" s="15">
        <v>104</v>
      </c>
      <c r="G1931" s="89" t="s">
        <v>426</v>
      </c>
      <c r="H1931" s="78"/>
    </row>
    <row r="1932" spans="1:8" x14ac:dyDescent="0.25">
      <c r="A1932" s="257"/>
      <c r="B1932" s="260"/>
      <c r="C1932" s="25" t="s">
        <v>6</v>
      </c>
      <c r="D1932" s="255">
        <v>6</v>
      </c>
      <c r="E1932" s="98" t="s">
        <v>151</v>
      </c>
      <c r="F1932" s="15">
        <v>25</v>
      </c>
      <c r="G1932" s="89" t="s">
        <v>75</v>
      </c>
      <c r="H1932" s="78"/>
    </row>
    <row r="1933" spans="1:8" x14ac:dyDescent="0.25">
      <c r="A1933" s="257"/>
      <c r="B1933" s="260"/>
      <c r="C1933" s="25" t="s">
        <v>6</v>
      </c>
      <c r="D1933" s="255"/>
      <c r="E1933" s="98" t="s">
        <v>144</v>
      </c>
      <c r="F1933" s="15">
        <v>25</v>
      </c>
      <c r="G1933" s="89" t="s">
        <v>75</v>
      </c>
      <c r="H1933" s="78"/>
    </row>
    <row r="1934" spans="1:8" x14ac:dyDescent="0.25">
      <c r="A1934" s="257"/>
      <c r="B1934" s="260"/>
      <c r="C1934" s="25" t="s">
        <v>6</v>
      </c>
      <c r="D1934" s="255">
        <v>4</v>
      </c>
      <c r="E1934" s="98" t="s">
        <v>260</v>
      </c>
      <c r="F1934" s="15">
        <v>34</v>
      </c>
      <c r="G1934" s="89" t="s">
        <v>165</v>
      </c>
      <c r="H1934" s="78"/>
    </row>
    <row r="1935" spans="1:8" x14ac:dyDescent="0.25">
      <c r="A1935" s="257"/>
      <c r="B1935" s="260"/>
      <c r="C1935" s="25" t="s">
        <v>6</v>
      </c>
      <c r="D1935" s="255"/>
      <c r="E1935" s="98" t="s">
        <v>450</v>
      </c>
      <c r="F1935" s="15">
        <v>56</v>
      </c>
      <c r="G1935" s="89" t="s">
        <v>165</v>
      </c>
      <c r="H1935" s="78"/>
    </row>
    <row r="1936" spans="1:8" x14ac:dyDescent="0.25">
      <c r="A1936" s="257"/>
      <c r="B1936" s="260"/>
      <c r="C1936" s="25" t="s">
        <v>6</v>
      </c>
      <c r="D1936" s="255">
        <v>4</v>
      </c>
      <c r="E1936" s="98" t="s">
        <v>73</v>
      </c>
      <c r="F1936" s="15"/>
      <c r="G1936" s="89">
        <v>113</v>
      </c>
      <c r="H1936" s="78"/>
    </row>
    <row r="1937" spans="1:8" x14ac:dyDescent="0.25">
      <c r="A1937" s="257"/>
      <c r="B1937" s="260"/>
      <c r="C1937" s="25" t="s">
        <v>6</v>
      </c>
      <c r="D1937" s="255"/>
      <c r="E1937" s="98" t="s">
        <v>82</v>
      </c>
      <c r="F1937" s="15"/>
      <c r="G1937" s="89">
        <v>113</v>
      </c>
      <c r="H1937" s="78"/>
    </row>
    <row r="1938" spans="1:8" x14ac:dyDescent="0.25">
      <c r="A1938" s="257"/>
      <c r="B1938" s="260"/>
      <c r="C1938" s="25" t="s">
        <v>6</v>
      </c>
      <c r="D1938" s="248">
        <v>2</v>
      </c>
      <c r="E1938" s="98" t="s">
        <v>420</v>
      </c>
      <c r="F1938" s="15">
        <v>10</v>
      </c>
      <c r="G1938" s="89">
        <v>116</v>
      </c>
      <c r="H1938" s="78"/>
    </row>
    <row r="1939" spans="1:8" x14ac:dyDescent="0.25">
      <c r="A1939" s="257"/>
      <c r="B1939" s="260"/>
      <c r="C1939" s="25" t="s">
        <v>6</v>
      </c>
      <c r="D1939" s="255">
        <v>4</v>
      </c>
      <c r="E1939" s="98" t="s">
        <v>200</v>
      </c>
      <c r="F1939" s="15">
        <v>20</v>
      </c>
      <c r="G1939" s="89">
        <v>116</v>
      </c>
      <c r="H1939" s="78"/>
    </row>
    <row r="1940" spans="1:8" x14ac:dyDescent="0.25">
      <c r="A1940" s="257"/>
      <c r="B1940" s="260"/>
      <c r="C1940" s="25" t="s">
        <v>6</v>
      </c>
      <c r="D1940" s="255"/>
      <c r="E1940" s="98" t="s">
        <v>449</v>
      </c>
      <c r="F1940" s="15">
        <v>30</v>
      </c>
      <c r="G1940" s="89">
        <v>116</v>
      </c>
      <c r="H1940" s="78"/>
    </row>
    <row r="1941" spans="1:8" x14ac:dyDescent="0.25">
      <c r="A1941" s="257"/>
      <c r="B1941" s="260"/>
      <c r="C1941" s="25" t="s">
        <v>6</v>
      </c>
      <c r="D1941" s="255"/>
      <c r="E1941" s="98" t="s">
        <v>260</v>
      </c>
      <c r="F1941" s="15">
        <v>50</v>
      </c>
      <c r="G1941" s="89">
        <v>116</v>
      </c>
      <c r="H1941" s="78"/>
    </row>
    <row r="1942" spans="1:8" x14ac:dyDescent="0.25">
      <c r="A1942" s="257"/>
      <c r="B1942" s="260"/>
      <c r="C1942" s="25" t="s">
        <v>6</v>
      </c>
      <c r="D1942" s="248">
        <v>4</v>
      </c>
      <c r="E1942" s="98" t="s">
        <v>404</v>
      </c>
      <c r="F1942" s="15">
        <v>60</v>
      </c>
      <c r="G1942" s="89">
        <v>116</v>
      </c>
      <c r="H1942" s="78"/>
    </row>
    <row r="1943" spans="1:8" x14ac:dyDescent="0.25">
      <c r="A1943" s="257"/>
      <c r="B1943" s="260"/>
      <c r="C1943" s="25" t="s">
        <v>13</v>
      </c>
      <c r="D1943" s="248">
        <v>1</v>
      </c>
      <c r="E1943" s="98" t="s">
        <v>256</v>
      </c>
      <c r="F1943" s="15"/>
      <c r="G1943" s="89"/>
      <c r="H1943" s="78"/>
    </row>
    <row r="1944" spans="1:8" x14ac:dyDescent="0.25">
      <c r="A1944" s="257"/>
      <c r="B1944" s="260"/>
      <c r="C1944" s="25" t="s">
        <v>13</v>
      </c>
      <c r="D1944" s="255">
        <v>4</v>
      </c>
      <c r="E1944" s="98" t="s">
        <v>449</v>
      </c>
      <c r="F1944" s="15">
        <v>25</v>
      </c>
      <c r="G1944" s="89">
        <v>113</v>
      </c>
      <c r="H1944" s="78"/>
    </row>
    <row r="1945" spans="1:8" x14ac:dyDescent="0.25">
      <c r="A1945" s="257"/>
      <c r="B1945" s="260"/>
      <c r="C1945" s="25" t="s">
        <v>13</v>
      </c>
      <c r="D1945" s="255"/>
      <c r="E1945" s="98" t="s">
        <v>26</v>
      </c>
      <c r="F1945" s="15">
        <v>20</v>
      </c>
      <c r="G1945" s="89">
        <v>113</v>
      </c>
      <c r="H1945" s="78"/>
    </row>
    <row r="1946" spans="1:8" ht="16.5" thickBot="1" x14ac:dyDescent="0.3">
      <c r="A1946" s="258"/>
      <c r="B1946" s="261"/>
      <c r="C1946" s="24" t="s">
        <v>13</v>
      </c>
      <c r="D1946" s="245">
        <v>2</v>
      </c>
      <c r="E1946" s="123" t="s">
        <v>229</v>
      </c>
      <c r="F1946" s="177"/>
      <c r="G1946" s="99"/>
      <c r="H1946" s="88"/>
    </row>
    <row r="1947" spans="1:8" x14ac:dyDescent="0.25">
      <c r="A1947" s="256">
        <v>46178</v>
      </c>
      <c r="B1947" s="259" t="s">
        <v>36</v>
      </c>
      <c r="C1947" s="74" t="s">
        <v>6</v>
      </c>
      <c r="D1947" s="262">
        <v>2</v>
      </c>
      <c r="E1947" s="165" t="s">
        <v>356</v>
      </c>
      <c r="F1947" s="75"/>
      <c r="G1947" s="90">
        <v>116</v>
      </c>
      <c r="H1947" s="77" t="s">
        <v>125</v>
      </c>
    </row>
    <row r="1948" spans="1:8" x14ac:dyDescent="0.25">
      <c r="A1948" s="257"/>
      <c r="B1948" s="260"/>
      <c r="C1948" s="23" t="s">
        <v>6</v>
      </c>
      <c r="D1948" s="264"/>
      <c r="E1948" s="98" t="s">
        <v>256</v>
      </c>
      <c r="F1948" s="15"/>
      <c r="G1948" s="149">
        <v>116</v>
      </c>
      <c r="H1948" s="78"/>
    </row>
    <row r="1949" spans="1:8" x14ac:dyDescent="0.25">
      <c r="A1949" s="257"/>
      <c r="B1949" s="260"/>
      <c r="C1949" s="25" t="s">
        <v>13</v>
      </c>
      <c r="D1949" s="179">
        <v>5</v>
      </c>
      <c r="E1949" s="98" t="s">
        <v>90</v>
      </c>
      <c r="F1949" s="15">
        <v>8.5</v>
      </c>
      <c r="G1949" s="89">
        <v>112</v>
      </c>
      <c r="H1949" s="78"/>
    </row>
    <row r="1950" spans="1:8" x14ac:dyDescent="0.25">
      <c r="A1950" s="257"/>
      <c r="B1950" s="260"/>
      <c r="C1950" s="25" t="s">
        <v>13</v>
      </c>
      <c r="D1950" s="180"/>
      <c r="E1950" s="98" t="s">
        <v>415</v>
      </c>
      <c r="F1950" s="15">
        <v>22</v>
      </c>
      <c r="G1950" s="89">
        <v>112</v>
      </c>
      <c r="H1950" s="78"/>
    </row>
    <row r="1951" spans="1:8" x14ac:dyDescent="0.25">
      <c r="A1951" s="257"/>
      <c r="B1951" s="260"/>
      <c r="C1951" s="25" t="s">
        <v>13</v>
      </c>
      <c r="D1951" s="248"/>
      <c r="E1951" s="98" t="s">
        <v>26</v>
      </c>
      <c r="F1951" s="15">
        <v>22</v>
      </c>
      <c r="G1951" s="89">
        <v>112</v>
      </c>
      <c r="H1951" s="78"/>
    </row>
    <row r="1952" spans="1:8" ht="31.5" x14ac:dyDescent="0.25">
      <c r="A1952" s="257"/>
      <c r="B1952" s="260"/>
      <c r="C1952" s="25" t="s">
        <v>13</v>
      </c>
      <c r="D1952" s="248"/>
      <c r="E1952" s="98" t="s">
        <v>280</v>
      </c>
      <c r="F1952" s="15"/>
      <c r="G1952" s="89">
        <v>112</v>
      </c>
      <c r="H1952" s="78" t="s">
        <v>375</v>
      </c>
    </row>
    <row r="1953" spans="1:8" x14ac:dyDescent="0.25">
      <c r="A1953" s="257"/>
      <c r="B1953" s="260"/>
      <c r="C1953" s="25" t="s">
        <v>13</v>
      </c>
      <c r="D1953" s="265">
        <v>7</v>
      </c>
      <c r="E1953" s="98" t="s">
        <v>147</v>
      </c>
      <c r="F1953" s="15">
        <v>4</v>
      </c>
      <c r="G1953" s="89">
        <v>107</v>
      </c>
      <c r="H1953" s="78" t="s">
        <v>125</v>
      </c>
    </row>
    <row r="1954" spans="1:8" x14ac:dyDescent="0.25">
      <c r="A1954" s="257"/>
      <c r="B1954" s="260"/>
      <c r="C1954" s="25" t="s">
        <v>13</v>
      </c>
      <c r="D1954" s="263"/>
      <c r="E1954" s="98" t="s">
        <v>217</v>
      </c>
      <c r="F1954" s="15">
        <v>81</v>
      </c>
      <c r="G1954" s="89">
        <v>107</v>
      </c>
      <c r="H1954" s="78"/>
    </row>
    <row r="1955" spans="1:8" x14ac:dyDescent="0.25">
      <c r="A1955" s="257"/>
      <c r="B1955" s="260"/>
      <c r="C1955" s="25" t="s">
        <v>13</v>
      </c>
      <c r="D1955" s="264"/>
      <c r="E1955" s="98" t="s">
        <v>216</v>
      </c>
      <c r="F1955" s="15">
        <v>12</v>
      </c>
      <c r="G1955" s="89">
        <v>107</v>
      </c>
      <c r="H1955" s="78"/>
    </row>
    <row r="1956" spans="1:8" x14ac:dyDescent="0.25">
      <c r="A1956" s="257"/>
      <c r="B1956" s="260"/>
      <c r="C1956" s="25" t="s">
        <v>13</v>
      </c>
      <c r="D1956" s="265">
        <v>3</v>
      </c>
      <c r="E1956" s="98" t="s">
        <v>216</v>
      </c>
      <c r="F1956" s="15">
        <v>6</v>
      </c>
      <c r="G1956" s="89">
        <v>105</v>
      </c>
      <c r="H1956" s="78" t="s">
        <v>125</v>
      </c>
    </row>
    <row r="1957" spans="1:8" x14ac:dyDescent="0.25">
      <c r="A1957" s="257"/>
      <c r="B1957" s="260"/>
      <c r="C1957" s="25" t="s">
        <v>13</v>
      </c>
      <c r="D1957" s="264"/>
      <c r="E1957" s="98" t="s">
        <v>94</v>
      </c>
      <c r="F1957" s="15">
        <v>6</v>
      </c>
      <c r="G1957" s="89">
        <v>116</v>
      </c>
      <c r="H1957" s="78"/>
    </row>
    <row r="1958" spans="1:8" x14ac:dyDescent="0.25">
      <c r="A1958" s="257"/>
      <c r="B1958" s="260"/>
      <c r="C1958" s="25" t="s">
        <v>13</v>
      </c>
      <c r="D1958" s="265">
        <v>3</v>
      </c>
      <c r="E1958" s="98" t="s">
        <v>144</v>
      </c>
      <c r="F1958" s="15"/>
      <c r="G1958" s="89" t="s">
        <v>75</v>
      </c>
      <c r="H1958" s="78"/>
    </row>
    <row r="1959" spans="1:8" x14ac:dyDescent="0.25">
      <c r="A1959" s="257"/>
      <c r="B1959" s="260"/>
      <c r="C1959" s="25" t="s">
        <v>13</v>
      </c>
      <c r="D1959" s="264"/>
      <c r="E1959" s="98" t="s">
        <v>151</v>
      </c>
      <c r="F1959" s="15">
        <v>7.5</v>
      </c>
      <c r="G1959" s="89" t="s">
        <v>75</v>
      </c>
      <c r="H1959" s="78"/>
    </row>
    <row r="1960" spans="1:8" x14ac:dyDescent="0.25">
      <c r="A1960" s="257"/>
      <c r="B1960" s="260"/>
      <c r="C1960" s="25" t="s">
        <v>13</v>
      </c>
      <c r="D1960" s="248">
        <v>2</v>
      </c>
      <c r="E1960" s="98" t="s">
        <v>229</v>
      </c>
      <c r="F1960" s="15"/>
      <c r="G1960" s="89"/>
      <c r="H1960" s="78"/>
    </row>
    <row r="1961" spans="1:8" x14ac:dyDescent="0.25">
      <c r="A1961" s="257">
        <v>46178</v>
      </c>
      <c r="B1961" s="260" t="s">
        <v>5</v>
      </c>
      <c r="C1961" s="25" t="s">
        <v>6</v>
      </c>
      <c r="D1961" s="255">
        <v>4</v>
      </c>
      <c r="E1961" s="98" t="s">
        <v>329</v>
      </c>
      <c r="F1961" s="15"/>
      <c r="G1961" s="89">
        <v>116</v>
      </c>
      <c r="H1961" s="78" t="s">
        <v>427</v>
      </c>
    </row>
    <row r="1962" spans="1:8" x14ac:dyDescent="0.25">
      <c r="A1962" s="257"/>
      <c r="B1962" s="260"/>
      <c r="C1962" s="25" t="s">
        <v>6</v>
      </c>
      <c r="D1962" s="255"/>
      <c r="E1962" s="98" t="s">
        <v>523</v>
      </c>
      <c r="F1962" s="15"/>
      <c r="G1962" s="89">
        <v>116</v>
      </c>
      <c r="H1962" s="78" t="s">
        <v>427</v>
      </c>
    </row>
    <row r="1963" spans="1:8" x14ac:dyDescent="0.25">
      <c r="A1963" s="257"/>
      <c r="B1963" s="260"/>
      <c r="C1963" s="25" t="s">
        <v>6</v>
      </c>
      <c r="D1963" s="255"/>
      <c r="E1963" s="98" t="s">
        <v>377</v>
      </c>
      <c r="F1963" s="15"/>
      <c r="G1963" s="89">
        <v>116</v>
      </c>
      <c r="H1963" s="78" t="s">
        <v>428</v>
      </c>
    </row>
    <row r="1964" spans="1:8" x14ac:dyDescent="0.25">
      <c r="A1964" s="257"/>
      <c r="B1964" s="260"/>
      <c r="C1964" s="25" t="s">
        <v>6</v>
      </c>
      <c r="D1964" s="255">
        <v>3</v>
      </c>
      <c r="E1964" s="98" t="s">
        <v>345</v>
      </c>
      <c r="F1964" s="15">
        <v>-104</v>
      </c>
      <c r="G1964" s="89">
        <v>111</v>
      </c>
      <c r="H1964" s="78" t="s">
        <v>429</v>
      </c>
    </row>
    <row r="1965" spans="1:8" x14ac:dyDescent="0.25">
      <c r="A1965" s="257"/>
      <c r="B1965" s="260"/>
      <c r="C1965" s="25" t="s">
        <v>6</v>
      </c>
      <c r="D1965" s="255"/>
      <c r="E1965" s="98" t="s">
        <v>26</v>
      </c>
      <c r="F1965" s="15">
        <v>16</v>
      </c>
      <c r="G1965" s="89" t="s">
        <v>75</v>
      </c>
      <c r="H1965" s="78"/>
    </row>
    <row r="1966" spans="1:8" x14ac:dyDescent="0.25">
      <c r="A1966" s="257"/>
      <c r="B1966" s="260"/>
      <c r="C1966" s="25" t="s">
        <v>6</v>
      </c>
      <c r="D1966" s="248">
        <v>5</v>
      </c>
      <c r="E1966" s="98" t="s">
        <v>450</v>
      </c>
      <c r="F1966" s="15">
        <v>166</v>
      </c>
      <c r="G1966" s="89">
        <v>101</v>
      </c>
      <c r="H1966" s="78" t="s">
        <v>430</v>
      </c>
    </row>
    <row r="1967" spans="1:8" x14ac:dyDescent="0.25">
      <c r="A1967" s="257"/>
      <c r="B1967" s="260"/>
      <c r="C1967" s="25" t="s">
        <v>6</v>
      </c>
      <c r="D1967" s="255">
        <v>5</v>
      </c>
      <c r="E1967" s="98" t="s">
        <v>450</v>
      </c>
      <c r="F1967" s="15">
        <v>138</v>
      </c>
      <c r="G1967" s="89">
        <v>111</v>
      </c>
      <c r="H1967" s="78" t="s">
        <v>431</v>
      </c>
    </row>
    <row r="1968" spans="1:8" x14ac:dyDescent="0.25">
      <c r="A1968" s="257"/>
      <c r="B1968" s="260"/>
      <c r="C1968" s="25" t="s">
        <v>6</v>
      </c>
      <c r="D1968" s="255"/>
      <c r="E1968" s="98" t="s">
        <v>432</v>
      </c>
      <c r="F1968" s="15">
        <v>273</v>
      </c>
      <c r="G1968" s="89" t="s">
        <v>433</v>
      </c>
      <c r="H1968" s="78"/>
    </row>
    <row r="1969" spans="1:8" x14ac:dyDescent="0.25">
      <c r="A1969" s="257"/>
      <c r="B1969" s="260"/>
      <c r="C1969" s="25" t="s">
        <v>6</v>
      </c>
      <c r="D1969" s="255"/>
      <c r="E1969" s="98" t="s">
        <v>271</v>
      </c>
      <c r="F1969" s="15">
        <v>420</v>
      </c>
      <c r="G1969" s="89" t="s">
        <v>434</v>
      </c>
      <c r="H1969" s="78"/>
    </row>
    <row r="1970" spans="1:8" x14ac:dyDescent="0.25">
      <c r="A1970" s="257"/>
      <c r="B1970" s="260"/>
      <c r="C1970" s="25" t="s">
        <v>6</v>
      </c>
      <c r="D1970" s="255">
        <v>5</v>
      </c>
      <c r="E1970" s="98" t="s">
        <v>73</v>
      </c>
      <c r="F1970" s="15">
        <v>10</v>
      </c>
      <c r="G1970" s="89">
        <v>113</v>
      </c>
      <c r="H1970" s="78"/>
    </row>
    <row r="1971" spans="1:8" x14ac:dyDescent="0.25">
      <c r="A1971" s="257"/>
      <c r="B1971" s="260"/>
      <c r="C1971" s="25" t="s">
        <v>6</v>
      </c>
      <c r="D1971" s="255"/>
      <c r="E1971" s="98" t="s">
        <v>82</v>
      </c>
      <c r="F1971" s="15">
        <v>20</v>
      </c>
      <c r="G1971" s="89">
        <v>113</v>
      </c>
      <c r="H1971" s="78"/>
    </row>
    <row r="1972" spans="1:8" x14ac:dyDescent="0.25">
      <c r="A1972" s="257"/>
      <c r="B1972" s="260"/>
      <c r="C1972" s="25" t="s">
        <v>13</v>
      </c>
      <c r="D1972" s="248">
        <v>2</v>
      </c>
      <c r="E1972" s="98" t="s">
        <v>256</v>
      </c>
      <c r="F1972" s="15"/>
      <c r="G1972" s="89"/>
      <c r="H1972" s="78"/>
    </row>
    <row r="1973" spans="1:8" ht="16.5" thickBot="1" x14ac:dyDescent="0.3">
      <c r="A1973" s="258"/>
      <c r="B1973" s="261"/>
      <c r="C1973" s="24" t="s">
        <v>13</v>
      </c>
      <c r="D1973" s="245">
        <v>3</v>
      </c>
      <c r="E1973" s="123" t="s">
        <v>229</v>
      </c>
      <c r="F1973" s="177"/>
      <c r="G1973" s="99"/>
      <c r="H1973" s="88"/>
    </row>
    <row r="1974" spans="1:8" x14ac:dyDescent="0.25">
      <c r="A1974" s="256">
        <v>46179</v>
      </c>
      <c r="B1974" s="259" t="s">
        <v>36</v>
      </c>
      <c r="C1974" s="74" t="s">
        <v>6</v>
      </c>
      <c r="D1974" s="266">
        <v>4</v>
      </c>
      <c r="E1974" s="165" t="s">
        <v>58</v>
      </c>
      <c r="F1974" s="75">
        <v>2</v>
      </c>
      <c r="G1974" s="90">
        <v>111</v>
      </c>
      <c r="H1974" s="77"/>
    </row>
    <row r="1975" spans="1:8" x14ac:dyDescent="0.25">
      <c r="A1975" s="257"/>
      <c r="B1975" s="260"/>
      <c r="C1975" s="25" t="s">
        <v>6</v>
      </c>
      <c r="D1975" s="255"/>
      <c r="E1975" s="98" t="s">
        <v>147</v>
      </c>
      <c r="F1975" s="15">
        <v>2.5</v>
      </c>
      <c r="G1975" s="89">
        <v>111</v>
      </c>
      <c r="H1975" s="78"/>
    </row>
    <row r="1976" spans="1:8" x14ac:dyDescent="0.25">
      <c r="A1976" s="257"/>
      <c r="B1976" s="260"/>
      <c r="C1976" s="25" t="s">
        <v>6</v>
      </c>
      <c r="D1976" s="255"/>
      <c r="E1976" s="98" t="s">
        <v>410</v>
      </c>
      <c r="F1976" s="15">
        <v>1</v>
      </c>
      <c r="G1976" s="89">
        <v>111</v>
      </c>
      <c r="H1976" s="78"/>
    </row>
    <row r="1977" spans="1:8" x14ac:dyDescent="0.25">
      <c r="A1977" s="257"/>
      <c r="B1977" s="260"/>
      <c r="C1977" s="25" t="s">
        <v>6</v>
      </c>
      <c r="D1977" s="255"/>
      <c r="E1977" s="98" t="s">
        <v>280</v>
      </c>
      <c r="F1977" s="15"/>
      <c r="G1977" s="89">
        <v>111</v>
      </c>
      <c r="H1977" s="78"/>
    </row>
    <row r="1978" spans="1:8" x14ac:dyDescent="0.25">
      <c r="A1978" s="257"/>
      <c r="B1978" s="260"/>
      <c r="C1978" s="25" t="s">
        <v>6</v>
      </c>
      <c r="D1978" s="255"/>
      <c r="E1978" s="98" t="s">
        <v>206</v>
      </c>
      <c r="F1978" s="15">
        <v>2</v>
      </c>
      <c r="G1978" s="89">
        <v>111</v>
      </c>
      <c r="H1978" s="78"/>
    </row>
    <row r="1979" spans="1:8" x14ac:dyDescent="0.25">
      <c r="A1979" s="257"/>
      <c r="B1979" s="260"/>
      <c r="C1979" s="25" t="s">
        <v>6</v>
      </c>
      <c r="D1979" s="255"/>
      <c r="E1979" s="98" t="s">
        <v>58</v>
      </c>
      <c r="F1979" s="15">
        <v>2</v>
      </c>
      <c r="G1979" s="89">
        <v>101</v>
      </c>
      <c r="H1979" s="78"/>
    </row>
    <row r="1980" spans="1:8" x14ac:dyDescent="0.25">
      <c r="A1980" s="257"/>
      <c r="B1980" s="260"/>
      <c r="C1980" s="25" t="s">
        <v>6</v>
      </c>
      <c r="D1980" s="255"/>
      <c r="E1980" s="98" t="s">
        <v>147</v>
      </c>
      <c r="F1980" s="15">
        <v>2.5</v>
      </c>
      <c r="G1980" s="89">
        <v>101</v>
      </c>
      <c r="H1980" s="78"/>
    </row>
    <row r="1981" spans="1:8" x14ac:dyDescent="0.25">
      <c r="A1981" s="257"/>
      <c r="B1981" s="260"/>
      <c r="C1981" s="25" t="s">
        <v>6</v>
      </c>
      <c r="D1981" s="255"/>
      <c r="E1981" s="98" t="s">
        <v>410</v>
      </c>
      <c r="F1981" s="15">
        <v>1</v>
      </c>
      <c r="G1981" s="89">
        <v>101</v>
      </c>
      <c r="H1981" s="78"/>
    </row>
    <row r="1982" spans="1:8" x14ac:dyDescent="0.25">
      <c r="A1982" s="257"/>
      <c r="B1982" s="260"/>
      <c r="C1982" s="25" t="s">
        <v>6</v>
      </c>
      <c r="D1982" s="255"/>
      <c r="E1982" s="98" t="s">
        <v>280</v>
      </c>
      <c r="F1982" s="15"/>
      <c r="G1982" s="89">
        <v>101</v>
      </c>
      <c r="H1982" s="78"/>
    </row>
    <row r="1983" spans="1:8" x14ac:dyDescent="0.25">
      <c r="A1983" s="257"/>
      <c r="B1983" s="260"/>
      <c r="C1983" s="25" t="s">
        <v>6</v>
      </c>
      <c r="D1983" s="255"/>
      <c r="E1983" s="98" t="s">
        <v>206</v>
      </c>
      <c r="F1983" s="15">
        <v>2</v>
      </c>
      <c r="G1983" s="89">
        <v>101</v>
      </c>
      <c r="H1983" s="78"/>
    </row>
    <row r="1984" spans="1:8" x14ac:dyDescent="0.25">
      <c r="A1984" s="257"/>
      <c r="B1984" s="260"/>
      <c r="C1984" s="25" t="s">
        <v>13</v>
      </c>
      <c r="D1984" s="255">
        <v>10</v>
      </c>
      <c r="E1984" s="98" t="s">
        <v>144</v>
      </c>
      <c r="F1984" s="15"/>
      <c r="G1984" s="89" t="s">
        <v>75</v>
      </c>
      <c r="H1984" s="78"/>
    </row>
    <row r="1985" spans="1:8" x14ac:dyDescent="0.25">
      <c r="A1985" s="257"/>
      <c r="B1985" s="260"/>
      <c r="C1985" s="25" t="s">
        <v>13</v>
      </c>
      <c r="D1985" s="255"/>
      <c r="E1985" s="98" t="s">
        <v>151</v>
      </c>
      <c r="F1985" s="15">
        <v>10</v>
      </c>
      <c r="G1985" s="89" t="s">
        <v>75</v>
      </c>
      <c r="H1985" s="78"/>
    </row>
    <row r="1986" spans="1:8" x14ac:dyDescent="0.25">
      <c r="A1986" s="257"/>
      <c r="B1986" s="260"/>
      <c r="C1986" s="25" t="s">
        <v>13</v>
      </c>
      <c r="D1986" s="255"/>
      <c r="E1986" s="98" t="s">
        <v>90</v>
      </c>
      <c r="F1986" s="15">
        <v>10</v>
      </c>
      <c r="G1986" s="89" t="s">
        <v>75</v>
      </c>
      <c r="H1986" s="78"/>
    </row>
    <row r="1987" spans="1:8" ht="31.5" x14ac:dyDescent="0.25">
      <c r="A1987" s="257"/>
      <c r="B1987" s="260"/>
      <c r="C1987" s="25" t="s">
        <v>13</v>
      </c>
      <c r="D1987" s="255"/>
      <c r="E1987" s="98" t="s">
        <v>280</v>
      </c>
      <c r="F1987" s="15"/>
      <c r="G1987" s="89" t="s">
        <v>75</v>
      </c>
      <c r="H1987" s="78" t="s">
        <v>375</v>
      </c>
    </row>
    <row r="1988" spans="1:8" x14ac:dyDescent="0.25">
      <c r="A1988" s="257"/>
      <c r="B1988" s="260"/>
      <c r="C1988" s="25" t="s">
        <v>13</v>
      </c>
      <c r="D1988" s="255">
        <v>2</v>
      </c>
      <c r="E1988" s="98" t="s">
        <v>58</v>
      </c>
      <c r="F1988" s="15">
        <v>4</v>
      </c>
      <c r="G1988" s="89" t="s">
        <v>75</v>
      </c>
      <c r="H1988" s="78"/>
    </row>
    <row r="1989" spans="1:8" x14ac:dyDescent="0.25">
      <c r="A1989" s="257"/>
      <c r="B1989" s="260"/>
      <c r="C1989" s="25" t="s">
        <v>13</v>
      </c>
      <c r="D1989" s="255"/>
      <c r="E1989" s="98" t="s">
        <v>82</v>
      </c>
      <c r="F1989" s="15">
        <v>8</v>
      </c>
      <c r="G1989" s="89" t="s">
        <v>75</v>
      </c>
      <c r="H1989" s="78"/>
    </row>
    <row r="1990" spans="1:8" x14ac:dyDescent="0.25">
      <c r="A1990" s="257"/>
      <c r="B1990" s="260"/>
      <c r="C1990" s="25" t="s">
        <v>6</v>
      </c>
      <c r="D1990" s="248">
        <v>4</v>
      </c>
      <c r="E1990" s="98" t="s">
        <v>325</v>
      </c>
      <c r="F1990" s="15">
        <v>-270</v>
      </c>
      <c r="G1990" s="89" t="s">
        <v>40</v>
      </c>
      <c r="H1990" s="78" t="s">
        <v>347</v>
      </c>
    </row>
    <row r="1991" spans="1:8" x14ac:dyDescent="0.25">
      <c r="A1991" s="257">
        <v>46179</v>
      </c>
      <c r="B1991" s="260" t="s">
        <v>5</v>
      </c>
      <c r="C1991" s="25" t="s">
        <v>6</v>
      </c>
      <c r="D1991" s="248">
        <v>4</v>
      </c>
      <c r="E1991" s="98" t="s">
        <v>352</v>
      </c>
      <c r="F1991" s="15">
        <v>63</v>
      </c>
      <c r="G1991" s="89" t="s">
        <v>435</v>
      </c>
      <c r="H1991" s="78"/>
    </row>
    <row r="1992" spans="1:8" x14ac:dyDescent="0.25">
      <c r="A1992" s="257"/>
      <c r="B1992" s="260"/>
      <c r="C1992" s="25" t="s">
        <v>6</v>
      </c>
      <c r="D1992" s="248">
        <v>3</v>
      </c>
      <c r="E1992" s="98" t="s">
        <v>329</v>
      </c>
      <c r="F1992" s="15"/>
      <c r="G1992" s="89" t="s">
        <v>435</v>
      </c>
      <c r="H1992" s="78" t="s">
        <v>371</v>
      </c>
    </row>
    <row r="1993" spans="1:8" ht="31.5" x14ac:dyDescent="0.25">
      <c r="A1993" s="257"/>
      <c r="B1993" s="260"/>
      <c r="C1993" s="25" t="s">
        <v>6</v>
      </c>
      <c r="D1993" s="248">
        <v>3</v>
      </c>
      <c r="E1993" s="98" t="s">
        <v>329</v>
      </c>
      <c r="F1993" s="15"/>
      <c r="G1993" s="89">
        <v>101.111</v>
      </c>
      <c r="H1993" s="78" t="s">
        <v>436</v>
      </c>
    </row>
    <row r="1994" spans="1:8" x14ac:dyDescent="0.25">
      <c r="A1994" s="257"/>
      <c r="B1994" s="260"/>
      <c r="C1994" s="25" t="s">
        <v>6</v>
      </c>
      <c r="D1994" s="255">
        <v>4</v>
      </c>
      <c r="E1994" s="98" t="s">
        <v>437</v>
      </c>
      <c r="F1994" s="15">
        <v>30</v>
      </c>
      <c r="G1994" s="89">
        <v>114</v>
      </c>
      <c r="H1994" s="78"/>
    </row>
    <row r="1995" spans="1:8" x14ac:dyDescent="0.25">
      <c r="A1995" s="257"/>
      <c r="B1995" s="260"/>
      <c r="C1995" s="25" t="s">
        <v>6</v>
      </c>
      <c r="D1995" s="255"/>
      <c r="E1995" s="98" t="s">
        <v>345</v>
      </c>
      <c r="F1995" s="15">
        <v>90</v>
      </c>
      <c r="G1995" s="89">
        <v>101</v>
      </c>
      <c r="H1995" s="78"/>
    </row>
    <row r="1996" spans="1:8" x14ac:dyDescent="0.25">
      <c r="A1996" s="257"/>
      <c r="B1996" s="260"/>
      <c r="C1996" s="25" t="s">
        <v>6</v>
      </c>
      <c r="D1996" s="255">
        <v>4</v>
      </c>
      <c r="E1996" s="98" t="s">
        <v>73</v>
      </c>
      <c r="F1996" s="15">
        <v>5</v>
      </c>
      <c r="G1996" s="89">
        <v>113</v>
      </c>
      <c r="H1996" s="78"/>
    </row>
    <row r="1997" spans="1:8" x14ac:dyDescent="0.25">
      <c r="A1997" s="257"/>
      <c r="B1997" s="260"/>
      <c r="C1997" s="25" t="s">
        <v>6</v>
      </c>
      <c r="D1997" s="255"/>
      <c r="E1997" s="98" t="s">
        <v>82</v>
      </c>
      <c r="F1997" s="15">
        <v>4</v>
      </c>
      <c r="G1997" s="89">
        <v>113</v>
      </c>
      <c r="H1997" s="78"/>
    </row>
    <row r="1998" spans="1:8" x14ac:dyDescent="0.25">
      <c r="A1998" s="257"/>
      <c r="B1998" s="260"/>
      <c r="C1998" s="25" t="s">
        <v>6</v>
      </c>
      <c r="D1998" s="255"/>
      <c r="E1998" s="98" t="s">
        <v>308</v>
      </c>
      <c r="F1998" s="15">
        <v>15</v>
      </c>
      <c r="G1998" s="89">
        <v>113</v>
      </c>
      <c r="H1998" s="78"/>
    </row>
    <row r="1999" spans="1:8" ht="30" x14ac:dyDescent="0.25">
      <c r="A1999" s="257"/>
      <c r="B1999" s="260"/>
      <c r="C1999" s="25" t="s">
        <v>6</v>
      </c>
      <c r="D1999" s="255">
        <v>4</v>
      </c>
      <c r="E1999" s="98" t="s">
        <v>319</v>
      </c>
      <c r="F1999" s="15">
        <v>8</v>
      </c>
      <c r="G1999" s="89">
        <v>116</v>
      </c>
      <c r="H1999" s="78"/>
    </row>
    <row r="2000" spans="1:8" x14ac:dyDescent="0.25">
      <c r="A2000" s="257"/>
      <c r="B2000" s="260"/>
      <c r="C2000" s="25" t="s">
        <v>6</v>
      </c>
      <c r="D2000" s="255"/>
      <c r="E2000" s="98" t="s">
        <v>108</v>
      </c>
      <c r="F2000" s="15">
        <v>4</v>
      </c>
      <c r="G2000" s="89">
        <v>116</v>
      </c>
      <c r="H2000" s="78"/>
    </row>
    <row r="2001" spans="1:8" x14ac:dyDescent="0.25">
      <c r="A2001" s="257"/>
      <c r="B2001" s="260"/>
      <c r="C2001" s="25" t="s">
        <v>6</v>
      </c>
      <c r="D2001" s="255"/>
      <c r="E2001" s="98" t="s">
        <v>94</v>
      </c>
      <c r="F2001" s="15">
        <v>8</v>
      </c>
      <c r="G2001" s="89">
        <v>101</v>
      </c>
      <c r="H2001" s="78" t="s">
        <v>438</v>
      </c>
    </row>
    <row r="2002" spans="1:8" x14ac:dyDescent="0.25">
      <c r="A2002" s="257"/>
      <c r="B2002" s="260"/>
      <c r="C2002" s="25" t="s">
        <v>6</v>
      </c>
      <c r="D2002" s="255"/>
      <c r="E2002" s="98" t="s">
        <v>94</v>
      </c>
      <c r="F2002" s="15">
        <v>8</v>
      </c>
      <c r="G2002" s="89" t="s">
        <v>40</v>
      </c>
      <c r="H2002" s="78" t="s">
        <v>439</v>
      </c>
    </row>
    <row r="2003" spans="1:8" x14ac:dyDescent="0.25">
      <c r="A2003" s="257"/>
      <c r="B2003" s="260"/>
      <c r="C2003" s="25" t="s">
        <v>6</v>
      </c>
      <c r="D2003" s="255">
        <v>6</v>
      </c>
      <c r="E2003" s="98" t="s">
        <v>200</v>
      </c>
      <c r="F2003" s="15">
        <v>80</v>
      </c>
      <c r="G2003" s="89" t="s">
        <v>165</v>
      </c>
      <c r="H2003" s="78"/>
    </row>
    <row r="2004" spans="1:8" x14ac:dyDescent="0.25">
      <c r="A2004" s="257"/>
      <c r="B2004" s="260"/>
      <c r="C2004" s="25" t="s">
        <v>6</v>
      </c>
      <c r="D2004" s="255"/>
      <c r="E2004" s="98" t="s">
        <v>449</v>
      </c>
      <c r="F2004" s="15">
        <v>150</v>
      </c>
      <c r="G2004" s="89" t="s">
        <v>165</v>
      </c>
      <c r="H2004" s="78" t="s">
        <v>440</v>
      </c>
    </row>
    <row r="2005" spans="1:8" x14ac:dyDescent="0.25">
      <c r="A2005" s="257"/>
      <c r="B2005" s="260"/>
      <c r="C2005" s="25" t="s">
        <v>6</v>
      </c>
      <c r="D2005" s="248">
        <v>4</v>
      </c>
      <c r="E2005" s="98" t="s">
        <v>325</v>
      </c>
      <c r="F2005" s="15">
        <v>100</v>
      </c>
      <c r="G2005" s="89" t="s">
        <v>441</v>
      </c>
      <c r="H2005" s="78"/>
    </row>
    <row r="2006" spans="1:8" x14ac:dyDescent="0.25">
      <c r="A2006" s="257"/>
      <c r="B2006" s="260"/>
      <c r="C2006" s="25" t="s">
        <v>6</v>
      </c>
      <c r="D2006" s="255">
        <v>2</v>
      </c>
      <c r="E2006" s="98" t="s">
        <v>58</v>
      </c>
      <c r="F2006" s="15">
        <v>2</v>
      </c>
      <c r="G2006" s="89">
        <v>111</v>
      </c>
      <c r="H2006" s="78"/>
    </row>
    <row r="2007" spans="1:8" x14ac:dyDescent="0.25">
      <c r="A2007" s="257"/>
      <c r="B2007" s="260"/>
      <c r="C2007" s="25" t="s">
        <v>6</v>
      </c>
      <c r="D2007" s="255"/>
      <c r="E2007" s="98" t="s">
        <v>310</v>
      </c>
      <c r="F2007" s="15">
        <v>1</v>
      </c>
      <c r="G2007" s="89">
        <v>111</v>
      </c>
      <c r="H2007" s="78"/>
    </row>
    <row r="2008" spans="1:8" x14ac:dyDescent="0.25">
      <c r="A2008" s="257"/>
      <c r="B2008" s="260"/>
      <c r="C2008" s="25" t="s">
        <v>6</v>
      </c>
      <c r="D2008" s="255"/>
      <c r="E2008" s="98" t="s">
        <v>110</v>
      </c>
      <c r="F2008" s="15">
        <v>2</v>
      </c>
      <c r="G2008" s="89">
        <v>111</v>
      </c>
      <c r="H2008" s="78"/>
    </row>
    <row r="2009" spans="1:8" x14ac:dyDescent="0.25">
      <c r="A2009" s="257"/>
      <c r="B2009" s="260"/>
      <c r="C2009" s="25" t="s">
        <v>13</v>
      </c>
      <c r="D2009" s="248">
        <v>3</v>
      </c>
      <c r="E2009" s="98" t="s">
        <v>256</v>
      </c>
      <c r="F2009" s="15"/>
      <c r="G2009" s="89"/>
      <c r="H2009" s="78"/>
    </row>
    <row r="2010" spans="1:8" ht="16.5" thickBot="1" x14ac:dyDescent="0.3">
      <c r="A2010" s="258"/>
      <c r="B2010" s="261"/>
      <c r="C2010" s="24" t="s">
        <v>13</v>
      </c>
      <c r="D2010" s="245">
        <v>3</v>
      </c>
      <c r="E2010" s="123" t="s">
        <v>229</v>
      </c>
      <c r="F2010" s="178"/>
      <c r="G2010" s="99"/>
      <c r="H2010" s="88"/>
    </row>
    <row r="2011" spans="1:8" x14ac:dyDescent="0.25">
      <c r="A2011" s="256">
        <v>46180</v>
      </c>
      <c r="B2011" s="259" t="s">
        <v>36</v>
      </c>
      <c r="C2011" s="74" t="s">
        <v>6</v>
      </c>
      <c r="D2011" s="266">
        <v>6</v>
      </c>
      <c r="E2011" s="165" t="s">
        <v>58</v>
      </c>
      <c r="F2011" s="75">
        <v>28</v>
      </c>
      <c r="G2011" s="90" t="s">
        <v>165</v>
      </c>
      <c r="H2011" s="77" t="s">
        <v>125</v>
      </c>
    </row>
    <row r="2012" spans="1:8" x14ac:dyDescent="0.25">
      <c r="A2012" s="257"/>
      <c r="B2012" s="260"/>
      <c r="C2012" s="25" t="s">
        <v>6</v>
      </c>
      <c r="D2012" s="255"/>
      <c r="E2012" s="98" t="s">
        <v>82</v>
      </c>
      <c r="F2012" s="15">
        <v>6</v>
      </c>
      <c r="G2012" s="89" t="s">
        <v>165</v>
      </c>
      <c r="H2012" s="78"/>
    </row>
    <row r="2013" spans="1:8" x14ac:dyDescent="0.25">
      <c r="A2013" s="257"/>
      <c r="B2013" s="260"/>
      <c r="C2013" s="25" t="s">
        <v>6</v>
      </c>
      <c r="D2013" s="255"/>
      <c r="E2013" s="98" t="s">
        <v>112</v>
      </c>
      <c r="F2013" s="15">
        <v>15</v>
      </c>
      <c r="G2013" s="89" t="s">
        <v>165</v>
      </c>
      <c r="H2013" s="78"/>
    </row>
    <row r="2014" spans="1:8" x14ac:dyDescent="0.25">
      <c r="A2014" s="257"/>
      <c r="B2014" s="260"/>
      <c r="C2014" s="25" t="s">
        <v>6</v>
      </c>
      <c r="D2014" s="255"/>
      <c r="E2014" s="98" t="s">
        <v>206</v>
      </c>
      <c r="F2014" s="15">
        <v>5</v>
      </c>
      <c r="G2014" s="89" t="s">
        <v>165</v>
      </c>
      <c r="H2014" s="78"/>
    </row>
    <row r="2015" spans="1:8" x14ac:dyDescent="0.25">
      <c r="A2015" s="257"/>
      <c r="B2015" s="260"/>
      <c r="C2015" s="25" t="s">
        <v>13</v>
      </c>
      <c r="D2015" s="255">
        <v>6</v>
      </c>
      <c r="E2015" s="98" t="s">
        <v>144</v>
      </c>
      <c r="F2015" s="15"/>
      <c r="G2015" s="89" t="s">
        <v>75</v>
      </c>
      <c r="H2015" s="78"/>
    </row>
    <row r="2016" spans="1:8" x14ac:dyDescent="0.25">
      <c r="A2016" s="257"/>
      <c r="B2016" s="260"/>
      <c r="C2016" s="25" t="s">
        <v>13</v>
      </c>
      <c r="D2016" s="255"/>
      <c r="E2016" s="98" t="s">
        <v>58</v>
      </c>
      <c r="F2016" s="15">
        <v>9</v>
      </c>
      <c r="G2016" s="89" t="s">
        <v>75</v>
      </c>
      <c r="H2016" s="78"/>
    </row>
    <row r="2017" spans="1:8" x14ac:dyDescent="0.25">
      <c r="A2017" s="257"/>
      <c r="B2017" s="260"/>
      <c r="C2017" s="25" t="s">
        <v>13</v>
      </c>
      <c r="D2017" s="255"/>
      <c r="E2017" s="98" t="s">
        <v>90</v>
      </c>
      <c r="F2017" s="15">
        <v>5</v>
      </c>
      <c r="G2017" s="89" t="s">
        <v>75</v>
      </c>
      <c r="H2017" s="78"/>
    </row>
    <row r="2018" spans="1:8" x14ac:dyDescent="0.25">
      <c r="A2018" s="257"/>
      <c r="B2018" s="260"/>
      <c r="C2018" s="25" t="s">
        <v>13</v>
      </c>
      <c r="D2018" s="255"/>
      <c r="E2018" s="98" t="s">
        <v>280</v>
      </c>
      <c r="F2018" s="15"/>
      <c r="G2018" s="89" t="s">
        <v>75</v>
      </c>
      <c r="H2018" s="78"/>
    </row>
    <row r="2019" spans="1:8" x14ac:dyDescent="0.25">
      <c r="A2019" s="257"/>
      <c r="B2019" s="260"/>
      <c r="C2019" s="25" t="s">
        <v>13</v>
      </c>
      <c r="D2019" s="255">
        <v>4</v>
      </c>
      <c r="E2019" s="98" t="s">
        <v>35</v>
      </c>
      <c r="F2019" s="15">
        <v>60</v>
      </c>
      <c r="G2019" s="89" t="s">
        <v>165</v>
      </c>
      <c r="H2019" s="78" t="s">
        <v>125</v>
      </c>
    </row>
    <row r="2020" spans="1:8" x14ac:dyDescent="0.25">
      <c r="A2020" s="257"/>
      <c r="B2020" s="260"/>
      <c r="C2020" s="25" t="s">
        <v>13</v>
      </c>
      <c r="D2020" s="255"/>
      <c r="E2020" s="98" t="s">
        <v>96</v>
      </c>
      <c r="F2020" s="15">
        <v>4</v>
      </c>
      <c r="G2020" s="89" t="s">
        <v>165</v>
      </c>
      <c r="H2020" s="78"/>
    </row>
    <row r="2021" spans="1:8" x14ac:dyDescent="0.25">
      <c r="A2021" s="257"/>
      <c r="B2021" s="260"/>
      <c r="C2021" s="25" t="s">
        <v>13</v>
      </c>
      <c r="D2021" s="255"/>
      <c r="E2021" s="98" t="s">
        <v>310</v>
      </c>
      <c r="F2021" s="15">
        <v>6.5</v>
      </c>
      <c r="G2021" s="89" t="s">
        <v>165</v>
      </c>
      <c r="H2021" s="78"/>
    </row>
    <row r="2022" spans="1:8" x14ac:dyDescent="0.25">
      <c r="A2022" s="257"/>
      <c r="B2022" s="260"/>
      <c r="C2022" s="25" t="s">
        <v>13</v>
      </c>
      <c r="D2022" s="255"/>
      <c r="E2022" s="98" t="s">
        <v>110</v>
      </c>
      <c r="F2022" s="15">
        <v>3</v>
      </c>
      <c r="G2022" s="89" t="s">
        <v>165</v>
      </c>
      <c r="H2022" s="78"/>
    </row>
    <row r="2023" spans="1:8" x14ac:dyDescent="0.25">
      <c r="A2023" s="257"/>
      <c r="B2023" s="260"/>
      <c r="C2023" s="25" t="s">
        <v>13</v>
      </c>
      <c r="D2023" s="255"/>
      <c r="E2023" s="98" t="s">
        <v>35</v>
      </c>
      <c r="F2023" s="15">
        <v>1.5</v>
      </c>
      <c r="G2023" s="89" t="s">
        <v>165</v>
      </c>
      <c r="H2023" s="78" t="s">
        <v>442</v>
      </c>
    </row>
    <row r="2024" spans="1:8" x14ac:dyDescent="0.25">
      <c r="A2024" s="257"/>
      <c r="B2024" s="260"/>
      <c r="C2024" s="25" t="s">
        <v>13</v>
      </c>
      <c r="D2024" s="248">
        <v>2</v>
      </c>
      <c r="E2024" s="98" t="s">
        <v>218</v>
      </c>
      <c r="F2024" s="15"/>
      <c r="G2024" s="89"/>
      <c r="H2024" s="78"/>
    </row>
    <row r="2025" spans="1:8" x14ac:dyDescent="0.25">
      <c r="A2025" s="257">
        <v>46180</v>
      </c>
      <c r="B2025" s="260" t="s">
        <v>5</v>
      </c>
      <c r="C2025" s="25" t="s">
        <v>6</v>
      </c>
      <c r="D2025" s="248">
        <v>10</v>
      </c>
      <c r="E2025" s="98" t="s">
        <v>419</v>
      </c>
      <c r="F2025" s="15">
        <v>120</v>
      </c>
      <c r="G2025" s="89" t="s">
        <v>443</v>
      </c>
      <c r="H2025" s="78" t="s">
        <v>125</v>
      </c>
    </row>
    <row r="2026" spans="1:8" x14ac:dyDescent="0.25">
      <c r="A2026" s="257"/>
      <c r="B2026" s="260"/>
      <c r="C2026" s="25" t="s">
        <v>6</v>
      </c>
      <c r="D2026" s="248">
        <v>2</v>
      </c>
      <c r="E2026" s="98" t="s">
        <v>523</v>
      </c>
      <c r="F2026" s="15"/>
      <c r="G2026" s="89" t="s">
        <v>445</v>
      </c>
      <c r="H2026" s="78" t="s">
        <v>444</v>
      </c>
    </row>
    <row r="2027" spans="1:8" x14ac:dyDescent="0.25">
      <c r="A2027" s="257"/>
      <c r="B2027" s="260"/>
      <c r="C2027" s="25" t="s">
        <v>6</v>
      </c>
      <c r="D2027" s="255">
        <v>4</v>
      </c>
      <c r="E2027" s="98" t="s">
        <v>449</v>
      </c>
      <c r="F2027" s="15">
        <v>25</v>
      </c>
      <c r="G2027" s="89" t="s">
        <v>27</v>
      </c>
      <c r="H2027" s="78"/>
    </row>
    <row r="2028" spans="1:8" x14ac:dyDescent="0.25">
      <c r="A2028" s="257"/>
      <c r="B2028" s="260"/>
      <c r="C2028" s="25" t="s">
        <v>6</v>
      </c>
      <c r="D2028" s="255"/>
      <c r="E2028" s="98" t="s">
        <v>200</v>
      </c>
      <c r="F2028" s="15">
        <v>10</v>
      </c>
      <c r="G2028" s="89">
        <v>114</v>
      </c>
      <c r="H2028" s="78"/>
    </row>
    <row r="2029" spans="1:8" x14ac:dyDescent="0.25">
      <c r="A2029" s="257"/>
      <c r="B2029" s="260"/>
      <c r="C2029" s="25" t="s">
        <v>6</v>
      </c>
      <c r="D2029" s="255"/>
      <c r="E2029" s="98" t="s">
        <v>26</v>
      </c>
      <c r="F2029" s="15">
        <v>10</v>
      </c>
      <c r="G2029" s="89">
        <v>114</v>
      </c>
      <c r="H2029" s="78"/>
    </row>
    <row r="2030" spans="1:8" x14ac:dyDescent="0.25">
      <c r="A2030" s="257"/>
      <c r="B2030" s="260"/>
      <c r="C2030" s="25" t="s">
        <v>6</v>
      </c>
      <c r="D2030" s="255"/>
      <c r="E2030" s="166" t="s">
        <v>498</v>
      </c>
      <c r="F2030" s="36">
        <v>4</v>
      </c>
      <c r="G2030" s="188">
        <v>114</v>
      </c>
      <c r="H2030" s="78"/>
    </row>
    <row r="2031" spans="1:8" x14ac:dyDescent="0.25">
      <c r="A2031" s="257"/>
      <c r="B2031" s="260"/>
      <c r="C2031" s="25" t="s">
        <v>6</v>
      </c>
      <c r="D2031" s="255"/>
      <c r="E2031" s="98" t="s">
        <v>384</v>
      </c>
      <c r="F2031" s="15">
        <v>1</v>
      </c>
      <c r="G2031" s="89">
        <v>114</v>
      </c>
      <c r="H2031" s="78"/>
    </row>
    <row r="2032" spans="1:8" x14ac:dyDescent="0.25">
      <c r="A2032" s="257"/>
      <c r="B2032" s="260"/>
      <c r="C2032" s="25" t="s">
        <v>6</v>
      </c>
      <c r="D2032" s="255"/>
      <c r="E2032" s="98" t="s">
        <v>377</v>
      </c>
      <c r="F2032" s="15"/>
      <c r="G2032" s="89">
        <v>114</v>
      </c>
      <c r="H2032" s="78" t="s">
        <v>447</v>
      </c>
    </row>
    <row r="2033" spans="1:8" x14ac:dyDescent="0.25">
      <c r="A2033" s="257"/>
      <c r="B2033" s="260"/>
      <c r="C2033" s="25" t="s">
        <v>6</v>
      </c>
      <c r="D2033" s="255">
        <v>4</v>
      </c>
      <c r="E2033" s="98" t="s">
        <v>384</v>
      </c>
      <c r="F2033" s="15">
        <v>1</v>
      </c>
      <c r="G2033" s="89">
        <v>117</v>
      </c>
      <c r="H2033" s="78"/>
    </row>
    <row r="2034" spans="1:8" x14ac:dyDescent="0.25">
      <c r="A2034" s="257"/>
      <c r="B2034" s="260"/>
      <c r="C2034" s="25" t="s">
        <v>6</v>
      </c>
      <c r="D2034" s="255"/>
      <c r="E2034" s="98" t="s">
        <v>329</v>
      </c>
      <c r="F2034" s="15"/>
      <c r="G2034" s="89">
        <v>117</v>
      </c>
      <c r="H2034" s="78" t="s">
        <v>448</v>
      </c>
    </row>
    <row r="2035" spans="1:8" x14ac:dyDescent="0.25">
      <c r="A2035" s="257"/>
      <c r="B2035" s="260"/>
      <c r="C2035" s="25" t="s">
        <v>6</v>
      </c>
      <c r="D2035" s="255">
        <v>4</v>
      </c>
      <c r="E2035" s="98" t="s">
        <v>58</v>
      </c>
      <c r="F2035" s="15">
        <v>5</v>
      </c>
      <c r="G2035" s="89">
        <v>116</v>
      </c>
      <c r="H2035" s="78"/>
    </row>
    <row r="2036" spans="1:8" x14ac:dyDescent="0.25">
      <c r="A2036" s="257"/>
      <c r="B2036" s="260"/>
      <c r="C2036" s="25" t="s">
        <v>6</v>
      </c>
      <c r="D2036" s="255"/>
      <c r="E2036" s="98" t="s">
        <v>404</v>
      </c>
      <c r="F2036" s="15">
        <v>60</v>
      </c>
      <c r="G2036" s="89">
        <v>116</v>
      </c>
      <c r="H2036" s="78"/>
    </row>
    <row r="2037" spans="1:8" x14ac:dyDescent="0.25">
      <c r="A2037" s="257"/>
      <c r="B2037" s="260"/>
      <c r="C2037" s="25" t="s">
        <v>6</v>
      </c>
      <c r="D2037" s="248">
        <v>4</v>
      </c>
      <c r="E2037" s="98" t="s">
        <v>345</v>
      </c>
      <c r="F2037" s="15">
        <v>103</v>
      </c>
      <c r="G2037" s="89">
        <v>111</v>
      </c>
      <c r="H2037" s="78"/>
    </row>
    <row r="2038" spans="1:8" x14ac:dyDescent="0.25">
      <c r="A2038" s="257"/>
      <c r="B2038" s="260"/>
      <c r="C2038" s="25" t="s">
        <v>6</v>
      </c>
      <c r="D2038" s="255">
        <v>7</v>
      </c>
      <c r="E2038" s="98" t="s">
        <v>432</v>
      </c>
      <c r="F2038" s="15">
        <v>312</v>
      </c>
      <c r="G2038" s="89" t="s">
        <v>155</v>
      </c>
      <c r="H2038" s="78"/>
    </row>
    <row r="2039" spans="1:8" x14ac:dyDescent="0.25">
      <c r="A2039" s="257"/>
      <c r="B2039" s="260"/>
      <c r="C2039" s="25" t="s">
        <v>6</v>
      </c>
      <c r="D2039" s="255"/>
      <c r="E2039" s="98" t="s">
        <v>271</v>
      </c>
      <c r="F2039" s="15">
        <v>126</v>
      </c>
      <c r="G2039" s="89" t="s">
        <v>322</v>
      </c>
      <c r="H2039" s="78"/>
    </row>
    <row r="2040" spans="1:8" x14ac:dyDescent="0.25">
      <c r="A2040" s="257"/>
      <c r="B2040" s="260"/>
      <c r="C2040" s="25" t="s">
        <v>13</v>
      </c>
      <c r="D2040" s="248">
        <v>2</v>
      </c>
      <c r="E2040" s="98" t="s">
        <v>256</v>
      </c>
      <c r="F2040" s="15"/>
      <c r="G2040" s="89"/>
      <c r="H2040" s="78"/>
    </row>
    <row r="2041" spans="1:8" ht="16.5" thickBot="1" x14ac:dyDescent="0.3">
      <c r="A2041" s="258"/>
      <c r="B2041" s="261"/>
      <c r="C2041" s="24" t="s">
        <v>13</v>
      </c>
      <c r="D2041" s="245">
        <v>3</v>
      </c>
      <c r="E2041" s="123" t="s">
        <v>229</v>
      </c>
      <c r="F2041" s="182"/>
      <c r="G2041" s="99"/>
      <c r="H2041" s="88"/>
    </row>
    <row r="2042" spans="1:8" ht="16.5" thickBot="1" x14ac:dyDescent="0.3">
      <c r="A2042" s="256">
        <v>46181</v>
      </c>
      <c r="B2042" s="259" t="s">
        <v>36</v>
      </c>
      <c r="C2042" s="74" t="s">
        <v>6</v>
      </c>
      <c r="D2042" s="266">
        <v>12</v>
      </c>
      <c r="E2042" s="183" t="s">
        <v>90</v>
      </c>
      <c r="F2042" s="75">
        <v>81</v>
      </c>
      <c r="G2042" s="90">
        <v>116</v>
      </c>
      <c r="H2042" s="77" t="s">
        <v>125</v>
      </c>
    </row>
    <row r="2043" spans="1:8" x14ac:dyDescent="0.25">
      <c r="A2043" s="257"/>
      <c r="B2043" s="260"/>
      <c r="C2043" s="25" t="s">
        <v>6</v>
      </c>
      <c r="D2043" s="255"/>
      <c r="E2043" s="184" t="s">
        <v>456</v>
      </c>
      <c r="F2043" s="15">
        <v>146</v>
      </c>
      <c r="G2043" s="90">
        <v>116</v>
      </c>
      <c r="H2043" s="78"/>
    </row>
    <row r="2044" spans="1:8" x14ac:dyDescent="0.25">
      <c r="A2044" s="257"/>
      <c r="B2044" s="260"/>
      <c r="C2044" s="25" t="s">
        <v>6</v>
      </c>
      <c r="D2044" s="255"/>
      <c r="E2044" s="184" t="s">
        <v>112</v>
      </c>
      <c r="F2044" s="15">
        <v>6</v>
      </c>
      <c r="G2044" s="89">
        <v>116</v>
      </c>
      <c r="H2044" s="78"/>
    </row>
    <row r="2045" spans="1:8" x14ac:dyDescent="0.25">
      <c r="A2045" s="257"/>
      <c r="B2045" s="260"/>
      <c r="C2045" s="25" t="s">
        <v>6</v>
      </c>
      <c r="D2045" s="255"/>
      <c r="E2045" s="184" t="s">
        <v>58</v>
      </c>
      <c r="F2045" s="15">
        <v>7</v>
      </c>
      <c r="G2045" s="89">
        <v>116</v>
      </c>
      <c r="H2045" s="78"/>
    </row>
    <row r="2046" spans="1:8" x14ac:dyDescent="0.25">
      <c r="A2046" s="257"/>
      <c r="B2046" s="260"/>
      <c r="C2046" s="25" t="s">
        <v>6</v>
      </c>
      <c r="D2046" s="255"/>
      <c r="E2046" s="184" t="s">
        <v>356</v>
      </c>
      <c r="F2046" s="15"/>
      <c r="G2046" s="89">
        <v>116</v>
      </c>
      <c r="H2046" s="78" t="s">
        <v>451</v>
      </c>
    </row>
    <row r="2047" spans="1:8" x14ac:dyDescent="0.25">
      <c r="A2047" s="257"/>
      <c r="B2047" s="260"/>
      <c r="C2047" s="25" t="s">
        <v>6</v>
      </c>
      <c r="D2047" s="255"/>
      <c r="E2047" s="184" t="s">
        <v>280</v>
      </c>
      <c r="F2047" s="15"/>
      <c r="G2047" s="89">
        <v>116</v>
      </c>
      <c r="H2047" s="78"/>
    </row>
    <row r="2048" spans="1:8" x14ac:dyDescent="0.25">
      <c r="A2048" s="257"/>
      <c r="B2048" s="260"/>
      <c r="C2048" s="25" t="s">
        <v>6</v>
      </c>
      <c r="D2048" s="255"/>
      <c r="E2048" s="184" t="s">
        <v>206</v>
      </c>
      <c r="F2048" s="15">
        <v>6</v>
      </c>
      <c r="G2048" s="89">
        <v>116</v>
      </c>
      <c r="H2048" s="78"/>
    </row>
    <row r="2049" spans="1:8" x14ac:dyDescent="0.25">
      <c r="A2049" s="257"/>
      <c r="B2049" s="260"/>
      <c r="C2049" s="25" t="s">
        <v>6</v>
      </c>
      <c r="D2049" s="255">
        <v>2</v>
      </c>
      <c r="E2049" s="184" t="s">
        <v>280</v>
      </c>
      <c r="F2049" s="15"/>
      <c r="G2049" s="89">
        <v>116</v>
      </c>
      <c r="H2049" s="78"/>
    </row>
    <row r="2050" spans="1:8" x14ac:dyDescent="0.25">
      <c r="A2050" s="257"/>
      <c r="B2050" s="260"/>
      <c r="C2050" s="25" t="s">
        <v>6</v>
      </c>
      <c r="D2050" s="255"/>
      <c r="E2050" s="184" t="s">
        <v>206</v>
      </c>
      <c r="F2050" s="15">
        <v>8</v>
      </c>
      <c r="G2050" s="89">
        <v>116</v>
      </c>
      <c r="H2050" s="78"/>
    </row>
    <row r="2051" spans="1:8" x14ac:dyDescent="0.25">
      <c r="A2051" s="257"/>
      <c r="B2051" s="260"/>
      <c r="C2051" s="25" t="s">
        <v>13</v>
      </c>
      <c r="D2051" s="255"/>
      <c r="E2051" s="184" t="s">
        <v>206</v>
      </c>
      <c r="F2051" s="15">
        <v>8</v>
      </c>
      <c r="G2051" s="89">
        <v>116</v>
      </c>
      <c r="H2051" s="78"/>
    </row>
    <row r="2052" spans="1:8" x14ac:dyDescent="0.25">
      <c r="A2052" s="257"/>
      <c r="B2052" s="260"/>
      <c r="C2052" s="25" t="s">
        <v>13</v>
      </c>
      <c r="D2052" s="248">
        <v>2</v>
      </c>
      <c r="E2052" s="184" t="s">
        <v>218</v>
      </c>
      <c r="F2052" s="15"/>
      <c r="G2052" s="89">
        <v>116</v>
      </c>
      <c r="H2052" s="78"/>
    </row>
    <row r="2053" spans="1:8" x14ac:dyDescent="0.25">
      <c r="A2053" s="257">
        <v>46181</v>
      </c>
      <c r="B2053" s="260" t="s">
        <v>5</v>
      </c>
      <c r="C2053" s="25" t="s">
        <v>6</v>
      </c>
      <c r="D2053" s="265">
        <v>5</v>
      </c>
      <c r="E2053" s="98" t="s">
        <v>404</v>
      </c>
      <c r="F2053" s="15">
        <v>104</v>
      </c>
      <c r="G2053" s="89">
        <v>116</v>
      </c>
      <c r="H2053" s="78"/>
    </row>
    <row r="2054" spans="1:8" x14ac:dyDescent="0.25">
      <c r="A2054" s="257"/>
      <c r="B2054" s="260"/>
      <c r="C2054" s="25" t="s">
        <v>6</v>
      </c>
      <c r="D2054" s="264"/>
      <c r="E2054" s="98" t="s">
        <v>408</v>
      </c>
      <c r="F2054" s="15">
        <v>48</v>
      </c>
      <c r="G2054" s="89">
        <v>116</v>
      </c>
      <c r="H2054" s="78"/>
    </row>
    <row r="2055" spans="1:8" x14ac:dyDescent="0.25">
      <c r="A2055" s="257"/>
      <c r="B2055" s="260"/>
      <c r="C2055" s="25" t="s">
        <v>6</v>
      </c>
      <c r="D2055" s="265">
        <v>4</v>
      </c>
      <c r="E2055" s="98" t="s">
        <v>271</v>
      </c>
      <c r="F2055" s="15">
        <v>85</v>
      </c>
      <c r="G2055" s="89" t="s">
        <v>156</v>
      </c>
      <c r="H2055" s="78"/>
    </row>
    <row r="2056" spans="1:8" x14ac:dyDescent="0.25">
      <c r="A2056" s="257"/>
      <c r="B2056" s="260"/>
      <c r="C2056" s="25" t="s">
        <v>6</v>
      </c>
      <c r="D2056" s="264"/>
      <c r="E2056" s="98" t="s">
        <v>26</v>
      </c>
      <c r="F2056" s="15">
        <v>46</v>
      </c>
      <c r="G2056" s="89" t="s">
        <v>156</v>
      </c>
      <c r="H2056" s="78"/>
    </row>
    <row r="2057" spans="1:8" x14ac:dyDescent="0.25">
      <c r="A2057" s="257"/>
      <c r="B2057" s="260"/>
      <c r="C2057" s="25" t="s">
        <v>6</v>
      </c>
      <c r="D2057" s="248">
        <v>2</v>
      </c>
      <c r="E2057" s="98" t="s">
        <v>61</v>
      </c>
      <c r="F2057" s="15">
        <v>6</v>
      </c>
      <c r="G2057" s="89">
        <v>111</v>
      </c>
      <c r="H2057" s="78" t="s">
        <v>452</v>
      </c>
    </row>
    <row r="2058" spans="1:8" x14ac:dyDescent="0.25">
      <c r="A2058" s="257"/>
      <c r="B2058" s="260"/>
      <c r="C2058" s="25" t="s">
        <v>6</v>
      </c>
      <c r="D2058" s="265">
        <v>6</v>
      </c>
      <c r="E2058" s="98" t="s">
        <v>346</v>
      </c>
      <c r="F2058" s="15"/>
      <c r="G2058" s="89">
        <v>101</v>
      </c>
      <c r="H2058" s="78" t="s">
        <v>453</v>
      </c>
    </row>
    <row r="2059" spans="1:8" x14ac:dyDescent="0.25">
      <c r="A2059" s="257"/>
      <c r="B2059" s="260"/>
      <c r="C2059" s="25" t="s">
        <v>6</v>
      </c>
      <c r="D2059" s="263"/>
      <c r="E2059" s="98" t="s">
        <v>202</v>
      </c>
      <c r="F2059" s="15">
        <v>12</v>
      </c>
      <c r="G2059" s="89">
        <v>101</v>
      </c>
      <c r="H2059" s="78"/>
    </row>
    <row r="2060" spans="1:8" x14ac:dyDescent="0.25">
      <c r="A2060" s="257"/>
      <c r="B2060" s="260"/>
      <c r="C2060" s="25" t="s">
        <v>6</v>
      </c>
      <c r="D2060" s="263"/>
      <c r="E2060" s="98" t="s">
        <v>449</v>
      </c>
      <c r="F2060" s="15">
        <v>12</v>
      </c>
      <c r="G2060" s="89">
        <v>101</v>
      </c>
      <c r="H2060" s="78"/>
    </row>
    <row r="2061" spans="1:8" x14ac:dyDescent="0.25">
      <c r="A2061" s="257"/>
      <c r="B2061" s="260"/>
      <c r="C2061" s="25" t="s">
        <v>6</v>
      </c>
      <c r="D2061" s="263"/>
      <c r="E2061" s="98" t="s">
        <v>61</v>
      </c>
      <c r="F2061" s="15">
        <v>2</v>
      </c>
      <c r="G2061" s="89">
        <v>101</v>
      </c>
      <c r="H2061" s="78" t="s">
        <v>452</v>
      </c>
    </row>
    <row r="2062" spans="1:8" x14ac:dyDescent="0.25">
      <c r="A2062" s="257"/>
      <c r="B2062" s="260"/>
      <c r="C2062" s="25" t="s">
        <v>6</v>
      </c>
      <c r="D2062" s="264"/>
      <c r="E2062" s="187" t="s">
        <v>455</v>
      </c>
      <c r="F2062" s="15">
        <v>2</v>
      </c>
      <c r="G2062" s="89">
        <v>101</v>
      </c>
      <c r="H2062" s="78"/>
    </row>
    <row r="2063" spans="1:8" x14ac:dyDescent="0.25">
      <c r="A2063" s="257"/>
      <c r="B2063" s="260"/>
      <c r="C2063" s="25" t="s">
        <v>6</v>
      </c>
      <c r="D2063" s="265">
        <v>4</v>
      </c>
      <c r="E2063" s="98" t="s">
        <v>90</v>
      </c>
      <c r="F2063" s="15">
        <v>18</v>
      </c>
      <c r="G2063" s="89">
        <v>101</v>
      </c>
      <c r="H2063" s="78"/>
    </row>
    <row r="2064" spans="1:8" x14ac:dyDescent="0.25">
      <c r="A2064" s="257"/>
      <c r="B2064" s="260"/>
      <c r="C2064" s="25" t="s">
        <v>6</v>
      </c>
      <c r="D2064" s="263"/>
      <c r="E2064" s="98" t="s">
        <v>456</v>
      </c>
      <c r="F2064" s="15">
        <v>36</v>
      </c>
      <c r="G2064" s="89">
        <v>101</v>
      </c>
      <c r="H2064" s="78"/>
    </row>
    <row r="2065" spans="1:8" x14ac:dyDescent="0.25">
      <c r="A2065" s="257"/>
      <c r="B2065" s="260"/>
      <c r="C2065" s="25" t="s">
        <v>6</v>
      </c>
      <c r="D2065" s="264"/>
      <c r="E2065" s="98" t="s">
        <v>280</v>
      </c>
      <c r="F2065" s="15"/>
      <c r="G2065" s="89">
        <v>101</v>
      </c>
      <c r="H2065" s="78"/>
    </row>
    <row r="2066" spans="1:8" x14ac:dyDescent="0.25">
      <c r="A2066" s="257"/>
      <c r="B2066" s="260"/>
      <c r="C2066" s="25" t="s">
        <v>6</v>
      </c>
      <c r="D2066" s="248">
        <v>3</v>
      </c>
      <c r="E2066" s="98" t="s">
        <v>329</v>
      </c>
      <c r="F2066" s="15"/>
      <c r="G2066" s="89">
        <v>117</v>
      </c>
      <c r="H2066" s="78" t="s">
        <v>371</v>
      </c>
    </row>
    <row r="2067" spans="1:8" x14ac:dyDescent="0.25">
      <c r="A2067" s="257"/>
      <c r="B2067" s="260"/>
      <c r="C2067" s="25" t="s">
        <v>6</v>
      </c>
      <c r="D2067" s="248">
        <v>4</v>
      </c>
      <c r="E2067" s="187" t="s">
        <v>455</v>
      </c>
      <c r="F2067" s="15">
        <v>27</v>
      </c>
      <c r="G2067" s="89" t="s">
        <v>40</v>
      </c>
      <c r="H2067" s="78"/>
    </row>
    <row r="2068" spans="1:8" x14ac:dyDescent="0.25">
      <c r="A2068" s="257"/>
      <c r="B2068" s="260"/>
      <c r="C2068" s="25" t="s">
        <v>13</v>
      </c>
      <c r="D2068" s="248">
        <v>3</v>
      </c>
      <c r="E2068" s="98" t="s">
        <v>256</v>
      </c>
      <c r="F2068" s="15"/>
      <c r="G2068" s="89"/>
      <c r="H2068" s="78"/>
    </row>
    <row r="2069" spans="1:8" x14ac:dyDescent="0.25">
      <c r="A2069" s="257"/>
      <c r="B2069" s="260"/>
      <c r="C2069" s="25" t="s">
        <v>6</v>
      </c>
      <c r="D2069" s="245">
        <v>4</v>
      </c>
      <c r="E2069" s="98" t="s">
        <v>271</v>
      </c>
      <c r="F2069" s="15">
        <v>73</v>
      </c>
      <c r="G2069" s="89" t="s">
        <v>454</v>
      </c>
      <c r="H2069" s="78"/>
    </row>
    <row r="2070" spans="1:8" ht="16.5" thickBot="1" x14ac:dyDescent="0.3">
      <c r="A2070" s="258"/>
      <c r="B2070" s="261"/>
      <c r="C2070" s="24" t="s">
        <v>6</v>
      </c>
      <c r="D2070" s="245">
        <v>5</v>
      </c>
      <c r="E2070" s="123" t="s">
        <v>271</v>
      </c>
      <c r="F2070" s="185">
        <v>124</v>
      </c>
      <c r="G2070" s="99" t="s">
        <v>155</v>
      </c>
      <c r="H2070" s="88"/>
    </row>
    <row r="2071" spans="1:8" x14ac:dyDescent="0.25">
      <c r="A2071" s="256">
        <v>46182</v>
      </c>
      <c r="B2071" s="259" t="s">
        <v>36</v>
      </c>
      <c r="C2071" s="74" t="s">
        <v>13</v>
      </c>
      <c r="D2071" s="266">
        <v>8</v>
      </c>
      <c r="E2071" s="165" t="s">
        <v>206</v>
      </c>
      <c r="F2071" s="75">
        <v>4</v>
      </c>
      <c r="G2071" s="90" t="s">
        <v>75</v>
      </c>
      <c r="H2071" s="77"/>
    </row>
    <row r="2072" spans="1:8" x14ac:dyDescent="0.25">
      <c r="A2072" s="257"/>
      <c r="B2072" s="260"/>
      <c r="C2072" s="25" t="s">
        <v>6</v>
      </c>
      <c r="D2072" s="255"/>
      <c r="E2072" s="98" t="s">
        <v>90</v>
      </c>
      <c r="F2072" s="15">
        <v>69</v>
      </c>
      <c r="G2072" s="89">
        <v>116</v>
      </c>
      <c r="H2072" s="78"/>
    </row>
    <row r="2073" spans="1:8" x14ac:dyDescent="0.25">
      <c r="A2073" s="257"/>
      <c r="B2073" s="260"/>
      <c r="C2073" s="25" t="s">
        <v>6</v>
      </c>
      <c r="D2073" s="255"/>
      <c r="E2073" s="98" t="s">
        <v>456</v>
      </c>
      <c r="F2073" s="15">
        <v>88</v>
      </c>
      <c r="G2073" s="89">
        <v>116</v>
      </c>
      <c r="H2073" s="78"/>
    </row>
    <row r="2074" spans="1:8" ht="31.5" x14ac:dyDescent="0.25">
      <c r="A2074" s="257"/>
      <c r="B2074" s="260"/>
      <c r="C2074" s="25" t="s">
        <v>6</v>
      </c>
      <c r="D2074" s="255"/>
      <c r="E2074" s="98" t="s">
        <v>280</v>
      </c>
      <c r="F2074" s="15"/>
      <c r="G2074" s="89">
        <v>116</v>
      </c>
      <c r="H2074" s="78" t="s">
        <v>375</v>
      </c>
    </row>
    <row r="2075" spans="1:8" x14ac:dyDescent="0.25">
      <c r="A2075" s="257"/>
      <c r="B2075" s="260"/>
      <c r="C2075" s="25" t="s">
        <v>6</v>
      </c>
      <c r="D2075" s="255">
        <v>6</v>
      </c>
      <c r="E2075" s="98" t="s">
        <v>90</v>
      </c>
      <c r="F2075" s="15">
        <v>6</v>
      </c>
      <c r="G2075" s="89">
        <v>102</v>
      </c>
      <c r="H2075" s="78"/>
    </row>
    <row r="2076" spans="1:8" x14ac:dyDescent="0.25">
      <c r="A2076" s="257"/>
      <c r="B2076" s="260"/>
      <c r="C2076" s="25" t="s">
        <v>6</v>
      </c>
      <c r="D2076" s="255"/>
      <c r="E2076" s="98" t="s">
        <v>90</v>
      </c>
      <c r="F2076" s="15">
        <v>6</v>
      </c>
      <c r="G2076" s="89">
        <v>103</v>
      </c>
      <c r="H2076" s="78"/>
    </row>
    <row r="2077" spans="1:8" x14ac:dyDescent="0.25">
      <c r="A2077" s="257"/>
      <c r="B2077" s="260"/>
      <c r="C2077" s="25" t="s">
        <v>6</v>
      </c>
      <c r="D2077" s="255"/>
      <c r="E2077" s="98" t="s">
        <v>90</v>
      </c>
      <c r="F2077" s="15">
        <v>6</v>
      </c>
      <c r="G2077" s="89">
        <v>108</v>
      </c>
      <c r="H2077" s="78"/>
    </row>
    <row r="2078" spans="1:8" x14ac:dyDescent="0.25">
      <c r="A2078" s="257"/>
      <c r="B2078" s="260"/>
      <c r="C2078" s="25" t="s">
        <v>6</v>
      </c>
      <c r="D2078" s="255"/>
      <c r="E2078" s="98" t="s">
        <v>90</v>
      </c>
      <c r="F2078" s="15">
        <v>6</v>
      </c>
      <c r="G2078" s="89">
        <v>109</v>
      </c>
      <c r="H2078" s="78"/>
    </row>
    <row r="2079" spans="1:8" x14ac:dyDescent="0.25">
      <c r="A2079" s="257"/>
      <c r="B2079" s="260"/>
      <c r="C2079" s="25" t="s">
        <v>6</v>
      </c>
      <c r="D2079" s="255"/>
      <c r="E2079" s="98" t="s">
        <v>90</v>
      </c>
      <c r="F2079" s="15">
        <v>6</v>
      </c>
      <c r="G2079" s="89">
        <v>110</v>
      </c>
      <c r="H2079" s="78"/>
    </row>
    <row r="2080" spans="1:8" ht="31.5" x14ac:dyDescent="0.25">
      <c r="A2080" s="257"/>
      <c r="B2080" s="260"/>
      <c r="C2080" s="25" t="s">
        <v>6</v>
      </c>
      <c r="D2080" s="255"/>
      <c r="E2080" s="98" t="s">
        <v>280</v>
      </c>
      <c r="F2080" s="15"/>
      <c r="G2080" s="89"/>
      <c r="H2080" s="78" t="s">
        <v>375</v>
      </c>
    </row>
    <row r="2081" spans="1:8" x14ac:dyDescent="0.25">
      <c r="A2081" s="257"/>
      <c r="B2081" s="260"/>
      <c r="C2081" s="25" t="s">
        <v>6</v>
      </c>
      <c r="D2081" s="248">
        <v>2</v>
      </c>
      <c r="E2081" s="98" t="s">
        <v>218</v>
      </c>
      <c r="F2081" s="15"/>
      <c r="G2081" s="89"/>
      <c r="H2081" s="78"/>
    </row>
    <row r="2082" spans="1:8" x14ac:dyDescent="0.25">
      <c r="A2082" s="257">
        <v>46182</v>
      </c>
      <c r="B2082" s="260" t="s">
        <v>5</v>
      </c>
      <c r="C2082" s="25" t="s">
        <v>6</v>
      </c>
      <c r="D2082" s="255">
        <v>5</v>
      </c>
      <c r="E2082" s="98" t="s">
        <v>260</v>
      </c>
      <c r="F2082" s="15">
        <v>95</v>
      </c>
      <c r="G2082" s="89">
        <v>116</v>
      </c>
      <c r="H2082" s="78"/>
    </row>
    <row r="2083" spans="1:8" x14ac:dyDescent="0.25">
      <c r="A2083" s="257"/>
      <c r="B2083" s="260"/>
      <c r="C2083" s="25" t="s">
        <v>6</v>
      </c>
      <c r="D2083" s="255"/>
      <c r="E2083" s="98" t="s">
        <v>272</v>
      </c>
      <c r="F2083" s="15">
        <v>69</v>
      </c>
      <c r="G2083" s="89">
        <v>116</v>
      </c>
      <c r="H2083" s="78"/>
    </row>
    <row r="2084" spans="1:8" ht="30" x14ac:dyDescent="0.25">
      <c r="A2084" s="257"/>
      <c r="B2084" s="260"/>
      <c r="C2084" s="25" t="s">
        <v>6</v>
      </c>
      <c r="D2084" s="255">
        <v>4</v>
      </c>
      <c r="E2084" s="98" t="s">
        <v>319</v>
      </c>
      <c r="F2084" s="15">
        <v>6</v>
      </c>
      <c r="G2084" s="89">
        <v>116</v>
      </c>
      <c r="H2084" s="78"/>
    </row>
    <row r="2085" spans="1:8" x14ac:dyDescent="0.25">
      <c r="A2085" s="257"/>
      <c r="B2085" s="260"/>
      <c r="C2085" s="25" t="s">
        <v>6</v>
      </c>
      <c r="D2085" s="255"/>
      <c r="E2085" s="98" t="s">
        <v>90</v>
      </c>
      <c r="F2085" s="15">
        <v>19</v>
      </c>
      <c r="G2085" s="89">
        <v>116</v>
      </c>
      <c r="H2085" s="78"/>
    </row>
    <row r="2086" spans="1:8" x14ac:dyDescent="0.25">
      <c r="A2086" s="257"/>
      <c r="B2086" s="260"/>
      <c r="C2086" s="25" t="s">
        <v>6</v>
      </c>
      <c r="D2086" s="255"/>
      <c r="E2086" s="98" t="s">
        <v>456</v>
      </c>
      <c r="F2086" s="15">
        <v>38</v>
      </c>
      <c r="G2086" s="89">
        <v>116</v>
      </c>
      <c r="H2086" s="78"/>
    </row>
    <row r="2087" spans="1:8" x14ac:dyDescent="0.25">
      <c r="A2087" s="257"/>
      <c r="B2087" s="260"/>
      <c r="C2087" s="25" t="s">
        <v>6</v>
      </c>
      <c r="D2087" s="255">
        <v>4</v>
      </c>
      <c r="E2087" s="98" t="s">
        <v>260</v>
      </c>
      <c r="F2087" s="15">
        <v>25</v>
      </c>
      <c r="G2087" s="89">
        <v>101</v>
      </c>
      <c r="H2087" s="78"/>
    </row>
    <row r="2088" spans="1:8" x14ac:dyDescent="0.25">
      <c r="A2088" s="257"/>
      <c r="B2088" s="260"/>
      <c r="C2088" s="25" t="s">
        <v>6</v>
      </c>
      <c r="D2088" s="255"/>
      <c r="E2088" s="98" t="s">
        <v>260</v>
      </c>
      <c r="F2088" s="15">
        <v>25</v>
      </c>
      <c r="G2088" s="89">
        <v>111</v>
      </c>
      <c r="H2088" s="78"/>
    </row>
    <row r="2089" spans="1:8" x14ac:dyDescent="0.25">
      <c r="A2089" s="257"/>
      <c r="B2089" s="260"/>
      <c r="C2089" s="25" t="s">
        <v>6</v>
      </c>
      <c r="D2089" s="255"/>
      <c r="E2089" s="98" t="s">
        <v>200</v>
      </c>
      <c r="F2089" s="15">
        <v>25</v>
      </c>
      <c r="G2089" s="89">
        <v>111</v>
      </c>
      <c r="H2089" s="78"/>
    </row>
    <row r="2090" spans="1:8" x14ac:dyDescent="0.25">
      <c r="A2090" s="257"/>
      <c r="B2090" s="260"/>
      <c r="C2090" s="25" t="s">
        <v>6</v>
      </c>
      <c r="D2090" s="255">
        <v>4</v>
      </c>
      <c r="E2090" s="98" t="s">
        <v>455</v>
      </c>
      <c r="F2090" s="15">
        <v>2</v>
      </c>
      <c r="G2090" s="89">
        <v>113</v>
      </c>
      <c r="H2090" s="78"/>
    </row>
    <row r="2091" spans="1:8" x14ac:dyDescent="0.25">
      <c r="A2091" s="257"/>
      <c r="B2091" s="260"/>
      <c r="C2091" s="25" t="s">
        <v>6</v>
      </c>
      <c r="D2091" s="255"/>
      <c r="E2091" s="98" t="s">
        <v>455</v>
      </c>
      <c r="F2091" s="15">
        <v>4</v>
      </c>
      <c r="G2091" s="89">
        <v>111</v>
      </c>
      <c r="H2091" s="78"/>
    </row>
    <row r="2092" spans="1:8" x14ac:dyDescent="0.25">
      <c r="A2092" s="257"/>
      <c r="B2092" s="260"/>
      <c r="C2092" s="25" t="s">
        <v>6</v>
      </c>
      <c r="D2092" s="255"/>
      <c r="E2092" s="166" t="s">
        <v>498</v>
      </c>
      <c r="F2092" s="15">
        <v>4</v>
      </c>
      <c r="G2092" s="89">
        <v>111</v>
      </c>
      <c r="H2092" s="78"/>
    </row>
    <row r="2093" spans="1:8" x14ac:dyDescent="0.25">
      <c r="A2093" s="257"/>
      <c r="B2093" s="260"/>
      <c r="C2093" s="25" t="s">
        <v>6</v>
      </c>
      <c r="D2093" s="255"/>
      <c r="E2093" s="166" t="s">
        <v>498</v>
      </c>
      <c r="F2093" s="15">
        <v>4</v>
      </c>
      <c r="G2093" s="89">
        <v>115</v>
      </c>
      <c r="H2093" s="78"/>
    </row>
    <row r="2094" spans="1:8" x14ac:dyDescent="0.25">
      <c r="A2094" s="257"/>
      <c r="B2094" s="260"/>
      <c r="C2094" s="25" t="s">
        <v>6</v>
      </c>
      <c r="D2094" s="248">
        <v>3</v>
      </c>
      <c r="E2094" s="98" t="s">
        <v>329</v>
      </c>
      <c r="F2094" s="15"/>
      <c r="G2094" s="89">
        <v>117</v>
      </c>
      <c r="H2094" s="78" t="s">
        <v>371</v>
      </c>
    </row>
    <row r="2095" spans="1:8" x14ac:dyDescent="0.25">
      <c r="A2095" s="257"/>
      <c r="B2095" s="260"/>
      <c r="C2095" s="25" t="s">
        <v>6</v>
      </c>
      <c r="D2095" s="248">
        <v>4</v>
      </c>
      <c r="E2095" s="98" t="s">
        <v>346</v>
      </c>
      <c r="F2095" s="15"/>
      <c r="G2095" s="89">
        <v>111</v>
      </c>
      <c r="H2095" s="78"/>
    </row>
    <row r="2096" spans="1:8" x14ac:dyDescent="0.25">
      <c r="A2096" s="257"/>
      <c r="B2096" s="260"/>
      <c r="C2096" s="25" t="s">
        <v>6</v>
      </c>
      <c r="D2096" s="248">
        <v>6</v>
      </c>
      <c r="E2096" s="98" t="s">
        <v>271</v>
      </c>
      <c r="F2096" s="15">
        <v>200</v>
      </c>
      <c r="G2096" s="89">
        <v>116</v>
      </c>
      <c r="H2096" s="78"/>
    </row>
    <row r="2097" spans="1:8" x14ac:dyDescent="0.25">
      <c r="A2097" s="257"/>
      <c r="B2097" s="260"/>
      <c r="C2097" s="25" t="s">
        <v>6</v>
      </c>
      <c r="D2097" s="255">
        <v>4</v>
      </c>
      <c r="E2097" s="98" t="s">
        <v>455</v>
      </c>
      <c r="F2097" s="15">
        <v>2</v>
      </c>
      <c r="G2097" s="89">
        <v>113</v>
      </c>
      <c r="H2097" s="78"/>
    </row>
    <row r="2098" spans="1:8" x14ac:dyDescent="0.25">
      <c r="A2098" s="257"/>
      <c r="B2098" s="260"/>
      <c r="C2098" s="25" t="s">
        <v>6</v>
      </c>
      <c r="D2098" s="255"/>
      <c r="E2098" s="98" t="s">
        <v>455</v>
      </c>
      <c r="F2098" s="15">
        <v>4</v>
      </c>
      <c r="G2098" s="89">
        <v>101</v>
      </c>
      <c r="H2098" s="78"/>
    </row>
    <row r="2099" spans="1:8" x14ac:dyDescent="0.25">
      <c r="A2099" s="257"/>
      <c r="B2099" s="260"/>
      <c r="C2099" s="25" t="s">
        <v>6</v>
      </c>
      <c r="D2099" s="255"/>
      <c r="E2099" s="98" t="s">
        <v>455</v>
      </c>
      <c r="F2099" s="15">
        <v>4</v>
      </c>
      <c r="G2099" s="89">
        <v>111</v>
      </c>
      <c r="H2099" s="78"/>
    </row>
    <row r="2100" spans="1:8" x14ac:dyDescent="0.25">
      <c r="A2100" s="257"/>
      <c r="B2100" s="260"/>
      <c r="C2100" s="25" t="s">
        <v>6</v>
      </c>
      <c r="D2100" s="255"/>
      <c r="E2100" s="98" t="s">
        <v>455</v>
      </c>
      <c r="F2100" s="15">
        <v>2</v>
      </c>
      <c r="G2100" s="89">
        <v>117</v>
      </c>
      <c r="H2100" s="78"/>
    </row>
    <row r="2101" spans="1:8" x14ac:dyDescent="0.25">
      <c r="A2101" s="257"/>
      <c r="B2101" s="260"/>
      <c r="C2101" s="25" t="s">
        <v>13</v>
      </c>
      <c r="D2101" s="248">
        <v>3</v>
      </c>
      <c r="E2101" s="98" t="s">
        <v>256</v>
      </c>
      <c r="F2101" s="15"/>
      <c r="G2101" s="89"/>
      <c r="H2101" s="78"/>
    </row>
    <row r="2102" spans="1:8" ht="16.5" thickBot="1" x14ac:dyDescent="0.3">
      <c r="A2102" s="258"/>
      <c r="B2102" s="261"/>
      <c r="C2102" s="24" t="s">
        <v>13</v>
      </c>
      <c r="D2102" s="245">
        <v>3</v>
      </c>
      <c r="E2102" s="123" t="s">
        <v>229</v>
      </c>
      <c r="F2102" s="186"/>
      <c r="G2102" s="99"/>
      <c r="H2102" s="88"/>
    </row>
    <row r="2103" spans="1:8" x14ac:dyDescent="0.25">
      <c r="A2103" s="256">
        <v>46183</v>
      </c>
      <c r="B2103" s="259" t="s">
        <v>36</v>
      </c>
      <c r="C2103" s="74" t="s">
        <v>6</v>
      </c>
      <c r="D2103" s="266">
        <v>13</v>
      </c>
      <c r="E2103" s="165" t="s">
        <v>90</v>
      </c>
      <c r="F2103" s="75">
        <v>158</v>
      </c>
      <c r="G2103" s="90">
        <v>116</v>
      </c>
      <c r="H2103" s="77" t="s">
        <v>125</v>
      </c>
    </row>
    <row r="2104" spans="1:8" x14ac:dyDescent="0.25">
      <c r="A2104" s="257"/>
      <c r="B2104" s="260"/>
      <c r="C2104" s="25" t="s">
        <v>6</v>
      </c>
      <c r="D2104" s="255"/>
      <c r="E2104" s="98" t="s">
        <v>456</v>
      </c>
      <c r="F2104" s="15">
        <v>84</v>
      </c>
      <c r="G2104" s="89">
        <v>116</v>
      </c>
      <c r="H2104" s="78"/>
    </row>
    <row r="2105" spans="1:8" ht="31.5" x14ac:dyDescent="0.25">
      <c r="A2105" s="257"/>
      <c r="B2105" s="260"/>
      <c r="C2105" s="25" t="s">
        <v>6</v>
      </c>
      <c r="D2105" s="248">
        <v>2</v>
      </c>
      <c r="E2105" s="98" t="s">
        <v>280</v>
      </c>
      <c r="F2105" s="15"/>
      <c r="G2105" s="89"/>
      <c r="H2105" s="78" t="s">
        <v>375</v>
      </c>
    </row>
    <row r="2106" spans="1:8" x14ac:dyDescent="0.25">
      <c r="A2106" s="257"/>
      <c r="B2106" s="260"/>
      <c r="C2106" s="25" t="s">
        <v>6</v>
      </c>
      <c r="D2106" s="248">
        <v>1</v>
      </c>
      <c r="E2106" s="98" t="s">
        <v>218</v>
      </c>
      <c r="F2106" s="15"/>
      <c r="G2106" s="89"/>
      <c r="H2106" s="78"/>
    </row>
    <row r="2107" spans="1:8" x14ac:dyDescent="0.25">
      <c r="A2107" s="257">
        <v>46183</v>
      </c>
      <c r="B2107" s="260" t="s">
        <v>5</v>
      </c>
      <c r="C2107" s="25" t="s">
        <v>6</v>
      </c>
      <c r="D2107" s="248">
        <v>5</v>
      </c>
      <c r="E2107" s="98" t="s">
        <v>260</v>
      </c>
      <c r="F2107" s="15">
        <v>150</v>
      </c>
      <c r="G2107" s="89">
        <v>116</v>
      </c>
      <c r="H2107" s="78"/>
    </row>
    <row r="2108" spans="1:8" x14ac:dyDescent="0.25">
      <c r="A2108" s="257"/>
      <c r="B2108" s="260"/>
      <c r="C2108" s="25" t="s">
        <v>6</v>
      </c>
      <c r="D2108" s="265">
        <v>3</v>
      </c>
      <c r="E2108" s="98" t="s">
        <v>456</v>
      </c>
      <c r="F2108" s="15">
        <v>30</v>
      </c>
      <c r="G2108" s="89">
        <v>116</v>
      </c>
      <c r="H2108" s="78"/>
    </row>
    <row r="2109" spans="1:8" x14ac:dyDescent="0.25">
      <c r="A2109" s="257"/>
      <c r="B2109" s="260"/>
      <c r="C2109" s="25" t="s">
        <v>6</v>
      </c>
      <c r="D2109" s="264"/>
      <c r="E2109" s="98" t="s">
        <v>90</v>
      </c>
      <c r="F2109" s="15">
        <v>18</v>
      </c>
      <c r="G2109" s="89">
        <v>116</v>
      </c>
      <c r="H2109" s="78"/>
    </row>
    <row r="2110" spans="1:8" x14ac:dyDescent="0.25">
      <c r="A2110" s="257"/>
      <c r="B2110" s="260"/>
      <c r="C2110" s="25" t="s">
        <v>6</v>
      </c>
      <c r="D2110" s="248">
        <v>5</v>
      </c>
      <c r="E2110" s="98" t="s">
        <v>271</v>
      </c>
      <c r="F2110" s="15">
        <v>200</v>
      </c>
      <c r="G2110" s="89">
        <v>116</v>
      </c>
      <c r="H2110" s="78"/>
    </row>
    <row r="2111" spans="1:8" x14ac:dyDescent="0.25">
      <c r="A2111" s="257"/>
      <c r="B2111" s="260"/>
      <c r="C2111" s="25" t="s">
        <v>6</v>
      </c>
      <c r="D2111" s="265">
        <v>4</v>
      </c>
      <c r="E2111" s="98" t="s">
        <v>329</v>
      </c>
      <c r="F2111" s="15"/>
      <c r="G2111" s="89">
        <v>112</v>
      </c>
      <c r="H2111" s="78" t="s">
        <v>457</v>
      </c>
    </row>
    <row r="2112" spans="1:8" x14ac:dyDescent="0.25">
      <c r="A2112" s="257"/>
      <c r="B2112" s="260"/>
      <c r="C2112" s="25" t="s">
        <v>6</v>
      </c>
      <c r="D2112" s="263"/>
      <c r="E2112" s="98" t="s">
        <v>329</v>
      </c>
      <c r="F2112" s="15"/>
      <c r="G2112" s="89">
        <v>117</v>
      </c>
      <c r="H2112" s="78" t="s">
        <v>458</v>
      </c>
    </row>
    <row r="2113" spans="1:8" x14ac:dyDescent="0.25">
      <c r="A2113" s="257"/>
      <c r="B2113" s="260"/>
      <c r="C2113" s="25" t="s">
        <v>6</v>
      </c>
      <c r="D2113" s="263"/>
      <c r="E2113" s="98" t="s">
        <v>523</v>
      </c>
      <c r="F2113" s="15"/>
      <c r="G2113" s="89">
        <v>112</v>
      </c>
      <c r="H2113" s="78" t="s">
        <v>457</v>
      </c>
    </row>
    <row r="2114" spans="1:8" x14ac:dyDescent="0.25">
      <c r="A2114" s="257"/>
      <c r="B2114" s="260"/>
      <c r="C2114" s="25" t="s">
        <v>6</v>
      </c>
      <c r="D2114" s="264"/>
      <c r="E2114" s="98" t="s">
        <v>523</v>
      </c>
      <c r="F2114" s="15"/>
      <c r="G2114" s="89">
        <v>117</v>
      </c>
      <c r="H2114" s="78" t="s">
        <v>458</v>
      </c>
    </row>
    <row r="2115" spans="1:8" x14ac:dyDescent="0.25">
      <c r="A2115" s="257"/>
      <c r="B2115" s="260"/>
      <c r="C2115" s="25" t="s">
        <v>6</v>
      </c>
      <c r="D2115" s="248">
        <v>6</v>
      </c>
      <c r="E2115" s="98" t="s">
        <v>459</v>
      </c>
      <c r="F2115" s="15"/>
      <c r="G2115" s="89"/>
      <c r="H2115" s="78" t="s">
        <v>460</v>
      </c>
    </row>
    <row r="2116" spans="1:8" x14ac:dyDescent="0.25">
      <c r="A2116" s="257"/>
      <c r="B2116" s="260"/>
      <c r="C2116" s="25" t="s">
        <v>6</v>
      </c>
      <c r="D2116" s="248">
        <v>3</v>
      </c>
      <c r="E2116" s="98" t="s">
        <v>256</v>
      </c>
      <c r="F2116" s="15"/>
      <c r="G2116" s="89"/>
      <c r="H2116" s="78"/>
    </row>
    <row r="2117" spans="1:8" x14ac:dyDescent="0.25">
      <c r="A2117" s="257"/>
      <c r="B2117" s="260"/>
      <c r="C2117" s="25" t="s">
        <v>13</v>
      </c>
      <c r="D2117" s="248">
        <v>2</v>
      </c>
      <c r="E2117" s="98" t="s">
        <v>256</v>
      </c>
      <c r="F2117" s="15"/>
      <c r="G2117" s="89"/>
      <c r="H2117" s="78"/>
    </row>
    <row r="2118" spans="1:8" x14ac:dyDescent="0.25">
      <c r="A2118" s="257"/>
      <c r="B2118" s="260"/>
      <c r="C2118" s="25" t="s">
        <v>6</v>
      </c>
      <c r="D2118" s="248">
        <v>2</v>
      </c>
      <c r="E2118" s="98" t="s">
        <v>93</v>
      </c>
      <c r="F2118" s="15">
        <v>6</v>
      </c>
      <c r="G2118" s="89" t="s">
        <v>462</v>
      </c>
      <c r="H2118" s="78" t="s">
        <v>461</v>
      </c>
    </row>
    <row r="2119" spans="1:8" x14ac:dyDescent="0.25">
      <c r="A2119" s="257"/>
      <c r="B2119" s="260"/>
      <c r="C2119" s="25" t="s">
        <v>6</v>
      </c>
      <c r="D2119" s="248">
        <v>4</v>
      </c>
      <c r="E2119" s="98" t="s">
        <v>346</v>
      </c>
      <c r="F2119" s="15"/>
      <c r="G2119" s="89" t="s">
        <v>165</v>
      </c>
      <c r="H2119" s="78"/>
    </row>
    <row r="2120" spans="1:8" ht="16.5" thickBot="1" x14ac:dyDescent="0.3">
      <c r="A2120" s="258"/>
      <c r="B2120" s="261"/>
      <c r="C2120" s="24" t="s">
        <v>6</v>
      </c>
      <c r="D2120" s="245">
        <v>3</v>
      </c>
      <c r="E2120" s="123" t="s">
        <v>229</v>
      </c>
      <c r="F2120" s="190"/>
      <c r="G2120" s="99"/>
      <c r="H2120" s="88"/>
    </row>
    <row r="2121" spans="1:8" x14ac:dyDescent="0.25">
      <c r="A2121" s="256">
        <v>46184</v>
      </c>
      <c r="B2121" s="259" t="s">
        <v>36</v>
      </c>
      <c r="C2121" s="74" t="s">
        <v>6</v>
      </c>
      <c r="D2121" s="266">
        <v>3</v>
      </c>
      <c r="E2121" s="165" t="s">
        <v>90</v>
      </c>
      <c r="F2121" s="75">
        <v>6</v>
      </c>
      <c r="G2121" s="90">
        <v>104</v>
      </c>
      <c r="H2121" s="77"/>
    </row>
    <row r="2122" spans="1:8" x14ac:dyDescent="0.25">
      <c r="A2122" s="257"/>
      <c r="B2122" s="260"/>
      <c r="C2122" s="25" t="s">
        <v>6</v>
      </c>
      <c r="D2122" s="255"/>
      <c r="E2122" s="98" t="s">
        <v>90</v>
      </c>
      <c r="F2122" s="15">
        <v>6</v>
      </c>
      <c r="G2122" s="89">
        <v>105</v>
      </c>
      <c r="H2122" s="78"/>
    </row>
    <row r="2123" spans="1:8" x14ac:dyDescent="0.25">
      <c r="A2123" s="257"/>
      <c r="B2123" s="260"/>
      <c r="C2123" s="25" t="s">
        <v>6</v>
      </c>
      <c r="D2123" s="255"/>
      <c r="E2123" s="98" t="s">
        <v>90</v>
      </c>
      <c r="F2123" s="15">
        <v>6</v>
      </c>
      <c r="G2123" s="89">
        <v>107</v>
      </c>
      <c r="H2123" s="78"/>
    </row>
    <row r="2124" spans="1:8" x14ac:dyDescent="0.25">
      <c r="A2124" s="257"/>
      <c r="B2124" s="260"/>
      <c r="C2124" s="25" t="s">
        <v>6</v>
      </c>
      <c r="D2124" s="255"/>
      <c r="E2124" s="98" t="s">
        <v>151</v>
      </c>
      <c r="F2124" s="15">
        <v>4</v>
      </c>
      <c r="G2124" s="89">
        <v>116</v>
      </c>
      <c r="H2124" s="78"/>
    </row>
    <row r="2125" spans="1:8" x14ac:dyDescent="0.25">
      <c r="A2125" s="257"/>
      <c r="B2125" s="260"/>
      <c r="C2125" s="25" t="s">
        <v>6</v>
      </c>
      <c r="D2125" s="255"/>
      <c r="E2125" s="98" t="s">
        <v>280</v>
      </c>
      <c r="F2125" s="15"/>
      <c r="G2125" s="89"/>
      <c r="H2125" s="78"/>
    </row>
    <row r="2126" spans="1:8" x14ac:dyDescent="0.25">
      <c r="A2126" s="257"/>
      <c r="B2126" s="260"/>
      <c r="C2126" s="25" t="s">
        <v>13</v>
      </c>
      <c r="D2126" s="255">
        <v>4</v>
      </c>
      <c r="E2126" s="98" t="s">
        <v>212</v>
      </c>
      <c r="F2126" s="15">
        <v>6</v>
      </c>
      <c r="G2126" s="89">
        <v>116</v>
      </c>
      <c r="H2126" s="4" t="s">
        <v>469</v>
      </c>
    </row>
    <row r="2127" spans="1:8" x14ac:dyDescent="0.25">
      <c r="A2127" s="257"/>
      <c r="B2127" s="260"/>
      <c r="C2127" s="25" t="s">
        <v>13</v>
      </c>
      <c r="D2127" s="255"/>
      <c r="E2127" s="98" t="s">
        <v>93</v>
      </c>
      <c r="F2127" s="15">
        <v>3</v>
      </c>
      <c r="G2127" s="89">
        <v>116</v>
      </c>
      <c r="H2127" s="78" t="s">
        <v>125</v>
      </c>
    </row>
    <row r="2128" spans="1:8" x14ac:dyDescent="0.25">
      <c r="A2128" s="257"/>
      <c r="B2128" s="260"/>
      <c r="C2128" s="25" t="s">
        <v>13</v>
      </c>
      <c r="D2128" s="255"/>
      <c r="E2128" s="98" t="s">
        <v>93</v>
      </c>
      <c r="F2128" s="15">
        <v>8</v>
      </c>
      <c r="G2128" s="89">
        <v>116</v>
      </c>
      <c r="H2128" s="78" t="s">
        <v>221</v>
      </c>
    </row>
    <row r="2129" spans="1:8" x14ac:dyDescent="0.25">
      <c r="A2129" s="257"/>
      <c r="B2129" s="260"/>
      <c r="C2129" s="25" t="s">
        <v>13</v>
      </c>
      <c r="D2129" s="255"/>
      <c r="E2129" s="98" t="s">
        <v>212</v>
      </c>
      <c r="F2129" s="15">
        <v>10</v>
      </c>
      <c r="G2129" s="89">
        <v>116</v>
      </c>
      <c r="H2129" s="78" t="s">
        <v>468</v>
      </c>
    </row>
    <row r="2130" spans="1:8" x14ac:dyDescent="0.25">
      <c r="A2130" s="257"/>
      <c r="B2130" s="260"/>
      <c r="C2130" s="25" t="s">
        <v>13</v>
      </c>
      <c r="D2130" s="255"/>
      <c r="E2130" s="98" t="s">
        <v>90</v>
      </c>
      <c r="F2130" s="15">
        <v>48</v>
      </c>
      <c r="G2130" s="89">
        <v>116</v>
      </c>
      <c r="H2130" s="78"/>
    </row>
    <row r="2131" spans="1:8" x14ac:dyDescent="0.25">
      <c r="A2131" s="257"/>
      <c r="B2131" s="260"/>
      <c r="C2131" s="25" t="s">
        <v>13</v>
      </c>
      <c r="D2131" s="248">
        <v>4</v>
      </c>
      <c r="E2131" s="98" t="s">
        <v>90</v>
      </c>
      <c r="F2131" s="15">
        <v>50</v>
      </c>
      <c r="G2131" s="89">
        <v>103</v>
      </c>
      <c r="H2131" s="78"/>
    </row>
    <row r="2132" spans="1:8" x14ac:dyDescent="0.25">
      <c r="A2132" s="257"/>
      <c r="B2132" s="260"/>
      <c r="C2132" s="25" t="s">
        <v>13</v>
      </c>
      <c r="D2132" s="255">
        <v>4</v>
      </c>
      <c r="E2132" s="98" t="s">
        <v>147</v>
      </c>
      <c r="F2132" s="15">
        <v>8</v>
      </c>
      <c r="G2132" s="89">
        <v>108</v>
      </c>
      <c r="H2132" s="78" t="s">
        <v>125</v>
      </c>
    </row>
    <row r="2133" spans="1:8" x14ac:dyDescent="0.25">
      <c r="A2133" s="257"/>
      <c r="B2133" s="260"/>
      <c r="C2133" s="25" t="s">
        <v>13</v>
      </c>
      <c r="D2133" s="255"/>
      <c r="E2133" s="98" t="s">
        <v>356</v>
      </c>
      <c r="F2133" s="15"/>
      <c r="G2133" s="89">
        <v>108</v>
      </c>
      <c r="H2133" s="78"/>
    </row>
    <row r="2134" spans="1:8" x14ac:dyDescent="0.25">
      <c r="A2134" s="257"/>
      <c r="B2134" s="260"/>
      <c r="C2134" s="25" t="s">
        <v>13</v>
      </c>
      <c r="D2134" s="255"/>
      <c r="E2134" s="98" t="s">
        <v>217</v>
      </c>
      <c r="F2134" s="15">
        <v>101</v>
      </c>
      <c r="G2134" s="89">
        <v>108</v>
      </c>
      <c r="H2134" s="78"/>
    </row>
    <row r="2135" spans="1:8" x14ac:dyDescent="0.25">
      <c r="A2135" s="257"/>
      <c r="B2135" s="260"/>
      <c r="C2135" s="25" t="s">
        <v>13</v>
      </c>
      <c r="D2135" s="255"/>
      <c r="E2135" s="98" t="s">
        <v>456</v>
      </c>
      <c r="F2135" s="15">
        <v>80</v>
      </c>
      <c r="G2135" s="89">
        <v>116</v>
      </c>
      <c r="H2135" s="78"/>
    </row>
    <row r="2136" spans="1:8" x14ac:dyDescent="0.25">
      <c r="A2136" s="257"/>
      <c r="B2136" s="260"/>
      <c r="C2136" s="25" t="s">
        <v>13</v>
      </c>
      <c r="D2136" s="255"/>
      <c r="E2136" s="98" t="s">
        <v>280</v>
      </c>
      <c r="F2136" s="15"/>
      <c r="G2136" s="89"/>
      <c r="H2136" s="78"/>
    </row>
    <row r="2137" spans="1:8" x14ac:dyDescent="0.25">
      <c r="A2137" s="257"/>
      <c r="B2137" s="260"/>
      <c r="C2137" s="25" t="s">
        <v>13</v>
      </c>
      <c r="D2137" s="248">
        <v>1</v>
      </c>
      <c r="E2137" s="98" t="s">
        <v>218</v>
      </c>
      <c r="F2137" s="15"/>
      <c r="G2137" s="89"/>
      <c r="H2137" s="78"/>
    </row>
    <row r="2138" spans="1:8" x14ac:dyDescent="0.25">
      <c r="A2138" s="257">
        <v>46184</v>
      </c>
      <c r="B2138" s="260" t="s">
        <v>5</v>
      </c>
      <c r="C2138" s="25" t="s">
        <v>6</v>
      </c>
      <c r="D2138" s="248">
        <v>16</v>
      </c>
      <c r="E2138" s="98" t="s">
        <v>463</v>
      </c>
      <c r="F2138" s="15">
        <v>163</v>
      </c>
      <c r="G2138" s="89" t="s">
        <v>464</v>
      </c>
      <c r="H2138" s="78" t="s">
        <v>125</v>
      </c>
    </row>
    <row r="2139" spans="1:8" x14ac:dyDescent="0.25">
      <c r="A2139" s="257"/>
      <c r="B2139" s="260"/>
      <c r="C2139" s="25" t="s">
        <v>6</v>
      </c>
      <c r="D2139" s="265">
        <v>3</v>
      </c>
      <c r="E2139" s="98" t="s">
        <v>329</v>
      </c>
      <c r="F2139" s="15"/>
      <c r="G2139" s="89">
        <v>117</v>
      </c>
      <c r="H2139" s="78" t="s">
        <v>365</v>
      </c>
    </row>
    <row r="2140" spans="1:8" x14ac:dyDescent="0.25">
      <c r="A2140" s="257"/>
      <c r="B2140" s="260"/>
      <c r="C2140" s="25" t="s">
        <v>6</v>
      </c>
      <c r="D2140" s="264"/>
      <c r="E2140" s="98" t="s">
        <v>329</v>
      </c>
      <c r="F2140" s="15"/>
      <c r="G2140" s="89">
        <v>112</v>
      </c>
      <c r="H2140" s="78" t="s">
        <v>366</v>
      </c>
    </row>
    <row r="2141" spans="1:8" x14ac:dyDescent="0.25">
      <c r="A2141" s="257"/>
      <c r="B2141" s="260"/>
      <c r="C2141" s="25" t="s">
        <v>6</v>
      </c>
      <c r="D2141" s="265">
        <v>4</v>
      </c>
      <c r="E2141" s="98" t="s">
        <v>465</v>
      </c>
      <c r="F2141" s="15">
        <v>2</v>
      </c>
      <c r="G2141" s="89">
        <v>116</v>
      </c>
      <c r="H2141" s="78" t="s">
        <v>466</v>
      </c>
    </row>
    <row r="2142" spans="1:8" x14ac:dyDescent="0.25">
      <c r="A2142" s="257"/>
      <c r="B2142" s="260"/>
      <c r="C2142" s="25" t="s">
        <v>6</v>
      </c>
      <c r="D2142" s="264"/>
      <c r="E2142" s="98" t="s">
        <v>271</v>
      </c>
      <c r="F2142" s="15">
        <v>100</v>
      </c>
      <c r="G2142" s="89">
        <v>116</v>
      </c>
      <c r="H2142" s="78"/>
    </row>
    <row r="2143" spans="1:8" x14ac:dyDescent="0.25">
      <c r="A2143" s="257"/>
      <c r="B2143" s="260"/>
      <c r="C2143" s="25" t="s">
        <v>6</v>
      </c>
      <c r="D2143" s="248">
        <v>2</v>
      </c>
      <c r="E2143" s="98" t="s">
        <v>207</v>
      </c>
      <c r="F2143" s="15"/>
      <c r="G2143" s="89"/>
      <c r="H2143" s="78" t="s">
        <v>467</v>
      </c>
    </row>
    <row r="2144" spans="1:8" x14ac:dyDescent="0.25">
      <c r="A2144" s="257"/>
      <c r="B2144" s="260"/>
      <c r="C2144" s="25" t="s">
        <v>6</v>
      </c>
      <c r="D2144" s="248">
        <v>2</v>
      </c>
      <c r="E2144" s="98" t="s">
        <v>256</v>
      </c>
      <c r="F2144" s="15"/>
      <c r="G2144" s="89"/>
      <c r="H2144" s="78"/>
    </row>
    <row r="2145" spans="1:8" x14ac:dyDescent="0.25">
      <c r="A2145" s="257"/>
      <c r="B2145" s="260"/>
      <c r="C2145" s="25" t="s">
        <v>6</v>
      </c>
      <c r="D2145" s="248">
        <v>4</v>
      </c>
      <c r="E2145" s="98" t="s">
        <v>90</v>
      </c>
      <c r="F2145" s="15">
        <v>50</v>
      </c>
      <c r="G2145" s="89">
        <v>103</v>
      </c>
      <c r="H2145" s="78"/>
    </row>
    <row r="2146" spans="1:8" x14ac:dyDescent="0.25">
      <c r="A2146" s="257"/>
      <c r="B2146" s="260"/>
      <c r="C2146" s="25" t="s">
        <v>6</v>
      </c>
      <c r="D2146" s="265">
        <v>4</v>
      </c>
      <c r="E2146" s="98" t="s">
        <v>456</v>
      </c>
      <c r="F2146" s="15">
        <v>54</v>
      </c>
      <c r="G2146" s="89">
        <v>103</v>
      </c>
      <c r="H2146" s="78"/>
    </row>
    <row r="2147" spans="1:8" ht="16.5" thickBot="1" x14ac:dyDescent="0.3">
      <c r="A2147" s="258"/>
      <c r="B2147" s="261"/>
      <c r="C2147" s="24" t="s">
        <v>6</v>
      </c>
      <c r="D2147" s="263"/>
      <c r="E2147" s="123" t="s">
        <v>229</v>
      </c>
      <c r="F2147" s="191"/>
      <c r="G2147" s="99"/>
      <c r="H2147" s="88"/>
    </row>
    <row r="2148" spans="1:8" x14ac:dyDescent="0.25">
      <c r="A2148" s="256">
        <v>46185</v>
      </c>
      <c r="B2148" s="259" t="s">
        <v>36</v>
      </c>
      <c r="C2148" s="74" t="s">
        <v>6</v>
      </c>
      <c r="D2148" s="266">
        <v>1</v>
      </c>
      <c r="E2148" s="165" t="s">
        <v>415</v>
      </c>
      <c r="F2148" s="75">
        <v>12</v>
      </c>
      <c r="G2148" s="90" t="s">
        <v>75</v>
      </c>
      <c r="H2148" s="77"/>
    </row>
    <row r="2149" spans="1:8" x14ac:dyDescent="0.25">
      <c r="A2149" s="257"/>
      <c r="B2149" s="260"/>
      <c r="C2149" s="25" t="s">
        <v>6</v>
      </c>
      <c r="D2149" s="255"/>
      <c r="E2149" s="98" t="s">
        <v>26</v>
      </c>
      <c r="F2149" s="15">
        <v>12</v>
      </c>
      <c r="G2149" s="89" t="s">
        <v>75</v>
      </c>
      <c r="H2149" s="78"/>
    </row>
    <row r="2150" spans="1:8" x14ac:dyDescent="0.25">
      <c r="A2150" s="257"/>
      <c r="B2150" s="260"/>
      <c r="C2150" s="25" t="s">
        <v>13</v>
      </c>
      <c r="D2150" s="255">
        <v>3</v>
      </c>
      <c r="E2150" s="98" t="s">
        <v>151</v>
      </c>
      <c r="F2150" s="15">
        <v>2</v>
      </c>
      <c r="G2150" s="89">
        <v>112</v>
      </c>
      <c r="H2150" s="78"/>
    </row>
    <row r="2151" spans="1:8" x14ac:dyDescent="0.25">
      <c r="A2151" s="257"/>
      <c r="B2151" s="260"/>
      <c r="C2151" s="25" t="s">
        <v>13</v>
      </c>
      <c r="D2151" s="255"/>
      <c r="E2151" s="98" t="s">
        <v>356</v>
      </c>
      <c r="F2151" s="15"/>
      <c r="G2151" s="89">
        <v>112</v>
      </c>
      <c r="H2151" s="78"/>
    </row>
    <row r="2152" spans="1:8" x14ac:dyDescent="0.25">
      <c r="A2152" s="257"/>
      <c r="B2152" s="260"/>
      <c r="C2152" s="25" t="s">
        <v>13</v>
      </c>
      <c r="D2152" s="255"/>
      <c r="E2152" s="98" t="s">
        <v>280</v>
      </c>
      <c r="F2152" s="15"/>
      <c r="G2152" s="89">
        <v>112</v>
      </c>
      <c r="H2152" s="78"/>
    </row>
    <row r="2153" spans="1:8" x14ac:dyDescent="0.25">
      <c r="A2153" s="257"/>
      <c r="B2153" s="260"/>
      <c r="C2153" s="25" t="s">
        <v>13</v>
      </c>
      <c r="D2153" s="248">
        <v>2</v>
      </c>
      <c r="E2153" s="98" t="s">
        <v>212</v>
      </c>
      <c r="F2153" s="15">
        <v>8</v>
      </c>
      <c r="G2153" s="89">
        <v>116</v>
      </c>
      <c r="H2153" s="78" t="s">
        <v>125</v>
      </c>
    </row>
    <row r="2154" spans="1:8" x14ac:dyDescent="0.25">
      <c r="A2154" s="257"/>
      <c r="B2154" s="260"/>
      <c r="C2154" s="25" t="s">
        <v>13</v>
      </c>
      <c r="D2154" s="255">
        <v>3</v>
      </c>
      <c r="E2154" s="98" t="s">
        <v>217</v>
      </c>
      <c r="F2154" s="15">
        <v>50</v>
      </c>
      <c r="G2154" s="89">
        <v>116</v>
      </c>
      <c r="H2154" s="78" t="s">
        <v>125</v>
      </c>
    </row>
    <row r="2155" spans="1:8" x14ac:dyDescent="0.25">
      <c r="A2155" s="257"/>
      <c r="B2155" s="260"/>
      <c r="C2155" s="25" t="s">
        <v>13</v>
      </c>
      <c r="D2155" s="255"/>
      <c r="E2155" s="98" t="s">
        <v>147</v>
      </c>
      <c r="F2155" s="15">
        <v>4</v>
      </c>
      <c r="G2155" s="89">
        <v>110</v>
      </c>
      <c r="H2155" s="78" t="s">
        <v>125</v>
      </c>
    </row>
    <row r="2156" spans="1:8" x14ac:dyDescent="0.25">
      <c r="A2156" s="257"/>
      <c r="B2156" s="260"/>
      <c r="C2156" s="25" t="s">
        <v>13</v>
      </c>
      <c r="D2156" s="255"/>
      <c r="E2156" s="98" t="s">
        <v>356</v>
      </c>
      <c r="F2156" s="15"/>
      <c r="G2156" s="89">
        <v>110</v>
      </c>
      <c r="H2156" s="78"/>
    </row>
    <row r="2157" spans="1:8" x14ac:dyDescent="0.25">
      <c r="A2157" s="257"/>
      <c r="B2157" s="260"/>
      <c r="C2157" s="25" t="s">
        <v>13</v>
      </c>
      <c r="D2157" s="255"/>
      <c r="E2157" s="98" t="s">
        <v>217</v>
      </c>
      <c r="F2157" s="15">
        <v>70</v>
      </c>
      <c r="G2157" s="89">
        <v>110</v>
      </c>
      <c r="H2157" s="78"/>
    </row>
    <row r="2158" spans="1:8" x14ac:dyDescent="0.25">
      <c r="A2158" s="257"/>
      <c r="B2158" s="260"/>
      <c r="C2158" s="25" t="s">
        <v>13</v>
      </c>
      <c r="D2158" s="255"/>
      <c r="E2158" s="98" t="s">
        <v>205</v>
      </c>
      <c r="F2158" s="15">
        <v>10</v>
      </c>
      <c r="G2158" s="89">
        <v>110</v>
      </c>
      <c r="H2158" s="78"/>
    </row>
    <row r="2159" spans="1:8" x14ac:dyDescent="0.25">
      <c r="A2159" s="257"/>
      <c r="B2159" s="260"/>
      <c r="C2159" s="25" t="s">
        <v>13</v>
      </c>
      <c r="D2159" s="255"/>
      <c r="E2159" s="98" t="s">
        <v>280</v>
      </c>
      <c r="F2159" s="15"/>
      <c r="G2159" s="89">
        <v>110</v>
      </c>
      <c r="H2159" s="78"/>
    </row>
    <row r="2160" spans="1:8" x14ac:dyDescent="0.25">
      <c r="A2160" s="257"/>
      <c r="B2160" s="260"/>
      <c r="C2160" s="25" t="s">
        <v>13</v>
      </c>
      <c r="D2160" s="255">
        <v>3</v>
      </c>
      <c r="E2160" s="98" t="s">
        <v>90</v>
      </c>
      <c r="F2160" s="15">
        <v>60</v>
      </c>
      <c r="G2160" s="89">
        <v>104</v>
      </c>
      <c r="H2160" s="78"/>
    </row>
    <row r="2161" spans="1:8" x14ac:dyDescent="0.25">
      <c r="A2161" s="257"/>
      <c r="B2161" s="260"/>
      <c r="C2161" s="25" t="s">
        <v>13</v>
      </c>
      <c r="D2161" s="255"/>
      <c r="E2161" s="98" t="s">
        <v>456</v>
      </c>
      <c r="F2161" s="15">
        <v>65</v>
      </c>
      <c r="G2161" s="89">
        <v>104</v>
      </c>
      <c r="H2161" s="78"/>
    </row>
    <row r="2162" spans="1:8" x14ac:dyDescent="0.25">
      <c r="A2162" s="257"/>
      <c r="B2162" s="260"/>
      <c r="C2162" s="25" t="s">
        <v>13</v>
      </c>
      <c r="D2162" s="255"/>
      <c r="E2162" s="98" t="s">
        <v>280</v>
      </c>
      <c r="F2162" s="15"/>
      <c r="G2162" s="89">
        <v>104</v>
      </c>
      <c r="H2162" s="78"/>
    </row>
    <row r="2163" spans="1:8" x14ac:dyDescent="0.25">
      <c r="A2163" s="257"/>
      <c r="B2163" s="260"/>
      <c r="C2163" s="25" t="s">
        <v>13</v>
      </c>
      <c r="D2163" s="255"/>
      <c r="E2163" s="98" t="s">
        <v>327</v>
      </c>
      <c r="F2163" s="15">
        <v>5.5</v>
      </c>
      <c r="G2163" s="89">
        <v>116</v>
      </c>
      <c r="H2163" s="78"/>
    </row>
    <row r="2164" spans="1:8" x14ac:dyDescent="0.25">
      <c r="A2164" s="257"/>
      <c r="B2164" s="260"/>
      <c r="C2164" s="25" t="s">
        <v>13</v>
      </c>
      <c r="D2164" s="248">
        <v>1</v>
      </c>
      <c r="E2164" s="98" t="s">
        <v>218</v>
      </c>
      <c r="F2164" s="15"/>
      <c r="G2164" s="89"/>
      <c r="H2164" s="78"/>
    </row>
    <row r="2165" spans="1:8" x14ac:dyDescent="0.25">
      <c r="A2165" s="257">
        <v>46185</v>
      </c>
      <c r="B2165" s="261" t="s">
        <v>5</v>
      </c>
      <c r="C2165" s="25" t="s">
        <v>6</v>
      </c>
      <c r="D2165" s="265">
        <v>2</v>
      </c>
      <c r="E2165" s="98" t="s">
        <v>470</v>
      </c>
      <c r="F2165" s="15">
        <v>1</v>
      </c>
      <c r="G2165" s="89">
        <v>101</v>
      </c>
      <c r="H2165" s="78"/>
    </row>
    <row r="2166" spans="1:8" x14ac:dyDescent="0.25">
      <c r="A2166" s="257"/>
      <c r="B2166" s="268"/>
      <c r="C2166" s="25" t="s">
        <v>6</v>
      </c>
      <c r="D2166" s="264"/>
      <c r="E2166" s="98" t="s">
        <v>471</v>
      </c>
      <c r="F2166" s="15">
        <v>1</v>
      </c>
      <c r="G2166" s="89">
        <v>111</v>
      </c>
      <c r="H2166" s="78"/>
    </row>
    <row r="2167" spans="1:8" x14ac:dyDescent="0.25">
      <c r="A2167" s="257"/>
      <c r="B2167" s="268"/>
      <c r="C2167" s="25" t="s">
        <v>13</v>
      </c>
      <c r="D2167" s="265">
        <v>2</v>
      </c>
      <c r="E2167" s="98" t="s">
        <v>470</v>
      </c>
      <c r="F2167" s="15">
        <v>1</v>
      </c>
      <c r="G2167" s="89">
        <v>101</v>
      </c>
      <c r="H2167" s="78"/>
    </row>
    <row r="2168" spans="1:8" x14ac:dyDescent="0.25">
      <c r="A2168" s="257"/>
      <c r="B2168" s="268"/>
      <c r="C2168" s="25" t="s">
        <v>13</v>
      </c>
      <c r="D2168" s="264"/>
      <c r="E2168" s="98" t="s">
        <v>471</v>
      </c>
      <c r="F2168" s="15">
        <v>1</v>
      </c>
      <c r="G2168" s="89">
        <v>111</v>
      </c>
      <c r="H2168" s="78"/>
    </row>
    <row r="2169" spans="1:8" x14ac:dyDescent="0.25">
      <c r="A2169" s="257"/>
      <c r="B2169" s="268"/>
      <c r="C2169" s="25" t="s">
        <v>13</v>
      </c>
      <c r="D2169" s="265">
        <v>4</v>
      </c>
      <c r="E2169" s="98" t="s">
        <v>144</v>
      </c>
      <c r="F2169" s="15"/>
      <c r="G2169" s="89" t="s">
        <v>75</v>
      </c>
      <c r="H2169" s="78"/>
    </row>
    <row r="2170" spans="1:8" x14ac:dyDescent="0.25">
      <c r="A2170" s="257"/>
      <c r="B2170" s="268"/>
      <c r="C2170" s="25" t="s">
        <v>13</v>
      </c>
      <c r="D2170" s="264"/>
      <c r="E2170" s="98" t="s">
        <v>115</v>
      </c>
      <c r="F2170" s="15">
        <v>3</v>
      </c>
      <c r="G2170" s="89" t="s">
        <v>75</v>
      </c>
      <c r="H2170" s="78"/>
    </row>
    <row r="2171" spans="1:8" x14ac:dyDescent="0.25">
      <c r="A2171" s="257"/>
      <c r="B2171" s="268"/>
      <c r="C2171" s="25" t="s">
        <v>6</v>
      </c>
      <c r="D2171" s="248">
        <v>7</v>
      </c>
      <c r="E2171" s="98" t="s">
        <v>346</v>
      </c>
      <c r="F2171" s="15"/>
      <c r="G2171" s="89" t="s">
        <v>75</v>
      </c>
      <c r="H2171" s="78" t="s">
        <v>472</v>
      </c>
    </row>
    <row r="2172" spans="1:8" x14ac:dyDescent="0.25">
      <c r="A2172" s="257"/>
      <c r="B2172" s="268"/>
      <c r="C2172" s="25" t="s">
        <v>6</v>
      </c>
      <c r="D2172" s="265">
        <v>6</v>
      </c>
      <c r="E2172" s="98" t="s">
        <v>473</v>
      </c>
      <c r="F2172" s="15">
        <v>10</v>
      </c>
      <c r="G2172" s="89">
        <v>116</v>
      </c>
      <c r="H2172" s="78"/>
    </row>
    <row r="2173" spans="1:8" x14ac:dyDescent="0.25">
      <c r="A2173" s="257"/>
      <c r="B2173" s="268"/>
      <c r="C2173" s="25" t="s">
        <v>6</v>
      </c>
      <c r="D2173" s="263"/>
      <c r="E2173" s="98" t="s">
        <v>474</v>
      </c>
      <c r="F2173" s="15">
        <v>4</v>
      </c>
      <c r="G2173" s="89">
        <v>116</v>
      </c>
      <c r="H2173" s="78" t="s">
        <v>475</v>
      </c>
    </row>
    <row r="2174" spans="1:8" x14ac:dyDescent="0.25">
      <c r="A2174" s="257"/>
      <c r="B2174" s="268"/>
      <c r="C2174" s="25" t="s">
        <v>6</v>
      </c>
      <c r="D2174" s="264"/>
      <c r="E2174" s="98" t="s">
        <v>408</v>
      </c>
      <c r="F2174" s="15">
        <v>6</v>
      </c>
      <c r="G2174" s="89">
        <v>110</v>
      </c>
      <c r="H2174" s="78" t="s">
        <v>125</v>
      </c>
    </row>
    <row r="2175" spans="1:8" x14ac:dyDescent="0.25">
      <c r="A2175" s="257"/>
      <c r="B2175" s="268"/>
      <c r="C2175" s="25" t="s">
        <v>6</v>
      </c>
      <c r="D2175" s="265">
        <v>4</v>
      </c>
      <c r="E2175" s="98" t="s">
        <v>147</v>
      </c>
      <c r="F2175" s="15">
        <v>4</v>
      </c>
      <c r="G2175" s="89">
        <v>116</v>
      </c>
      <c r="H2175" s="78" t="s">
        <v>125</v>
      </c>
    </row>
    <row r="2176" spans="1:8" x14ac:dyDescent="0.25">
      <c r="A2176" s="257"/>
      <c r="B2176" s="268"/>
      <c r="C2176" s="25" t="s">
        <v>6</v>
      </c>
      <c r="D2176" s="264"/>
      <c r="E2176" s="98" t="s">
        <v>199</v>
      </c>
      <c r="F2176" s="15">
        <v>2</v>
      </c>
      <c r="G2176" s="89"/>
      <c r="H2176" s="78"/>
    </row>
    <row r="2177" spans="1:8" x14ac:dyDescent="0.25">
      <c r="A2177" s="257"/>
      <c r="B2177" s="268"/>
      <c r="C2177" s="25" t="s">
        <v>6</v>
      </c>
      <c r="D2177" s="265">
        <v>4</v>
      </c>
      <c r="E2177" s="98" t="s">
        <v>476</v>
      </c>
      <c r="F2177" s="15">
        <v>16</v>
      </c>
      <c r="G2177" s="89">
        <v>112</v>
      </c>
      <c r="H2177" s="78"/>
    </row>
    <row r="2178" spans="1:8" x14ac:dyDescent="0.25">
      <c r="A2178" s="257"/>
      <c r="B2178" s="268"/>
      <c r="C2178" s="25" t="s">
        <v>6</v>
      </c>
      <c r="D2178" s="264"/>
      <c r="E2178" s="98" t="s">
        <v>329</v>
      </c>
      <c r="F2178" s="15"/>
      <c r="G2178" s="89"/>
      <c r="H2178" s="78" t="s">
        <v>373</v>
      </c>
    </row>
    <row r="2179" spans="1:8" x14ac:dyDescent="0.25">
      <c r="A2179" s="257"/>
      <c r="B2179" s="268"/>
      <c r="C2179" s="25" t="s">
        <v>13</v>
      </c>
      <c r="D2179" s="248">
        <v>3</v>
      </c>
      <c r="E2179" s="98" t="s">
        <v>256</v>
      </c>
      <c r="F2179" s="15"/>
      <c r="G2179" s="89"/>
      <c r="H2179" s="78"/>
    </row>
    <row r="2180" spans="1:8" ht="16.5" thickBot="1" x14ac:dyDescent="0.3">
      <c r="A2180" s="258"/>
      <c r="B2180" s="268"/>
      <c r="C2180" s="24" t="s">
        <v>13</v>
      </c>
      <c r="D2180" s="245">
        <v>3</v>
      </c>
      <c r="E2180" s="123" t="s">
        <v>229</v>
      </c>
      <c r="F2180" s="193"/>
      <c r="G2180" s="99"/>
      <c r="H2180" s="88"/>
    </row>
    <row r="2181" spans="1:8" x14ac:dyDescent="0.25">
      <c r="A2181" s="256">
        <v>46186</v>
      </c>
      <c r="B2181" s="259" t="s">
        <v>36</v>
      </c>
      <c r="C2181" s="74" t="s">
        <v>13</v>
      </c>
      <c r="D2181" s="266">
        <v>6</v>
      </c>
      <c r="E2181" s="165" t="s">
        <v>205</v>
      </c>
      <c r="F2181" s="75">
        <v>4</v>
      </c>
      <c r="G2181" s="90">
        <v>108</v>
      </c>
      <c r="H2181" s="77" t="s">
        <v>125</v>
      </c>
    </row>
    <row r="2182" spans="1:8" x14ac:dyDescent="0.25">
      <c r="A2182" s="257"/>
      <c r="B2182" s="260"/>
      <c r="C2182" s="25" t="s">
        <v>13</v>
      </c>
      <c r="D2182" s="255"/>
      <c r="E2182" s="98" t="s">
        <v>147</v>
      </c>
      <c r="F2182" s="15">
        <v>2</v>
      </c>
      <c r="G2182" s="89">
        <v>110</v>
      </c>
      <c r="H2182" s="78" t="s">
        <v>125</v>
      </c>
    </row>
    <row r="2183" spans="1:8" x14ac:dyDescent="0.25">
      <c r="A2183" s="257"/>
      <c r="B2183" s="260"/>
      <c r="C2183" s="25" t="s">
        <v>13</v>
      </c>
      <c r="D2183" s="255"/>
      <c r="E2183" s="98" t="s">
        <v>356</v>
      </c>
      <c r="F2183" s="15">
        <v>1</v>
      </c>
      <c r="G2183" s="89">
        <v>110</v>
      </c>
      <c r="H2183" s="78"/>
    </row>
    <row r="2184" spans="1:8" x14ac:dyDescent="0.25">
      <c r="A2184" s="257"/>
      <c r="B2184" s="260"/>
      <c r="C2184" s="25" t="s">
        <v>13</v>
      </c>
      <c r="D2184" s="255"/>
      <c r="E2184" s="98" t="s">
        <v>205</v>
      </c>
      <c r="F2184" s="15">
        <v>2</v>
      </c>
      <c r="G2184" s="89">
        <v>110</v>
      </c>
      <c r="H2184" s="78" t="s">
        <v>477</v>
      </c>
    </row>
    <row r="2185" spans="1:8" x14ac:dyDescent="0.25">
      <c r="A2185" s="257"/>
      <c r="B2185" s="260"/>
      <c r="C2185" s="25" t="s">
        <v>13</v>
      </c>
      <c r="D2185" s="255"/>
      <c r="E2185" s="98" t="s">
        <v>147</v>
      </c>
      <c r="F2185" s="15">
        <v>4</v>
      </c>
      <c r="G2185" s="89">
        <v>109</v>
      </c>
      <c r="H2185" s="78" t="s">
        <v>125</v>
      </c>
    </row>
    <row r="2186" spans="1:8" x14ac:dyDescent="0.25">
      <c r="A2186" s="257"/>
      <c r="B2186" s="260"/>
      <c r="C2186" s="25" t="s">
        <v>13</v>
      </c>
      <c r="D2186" s="255"/>
      <c r="E2186" s="98" t="s">
        <v>217</v>
      </c>
      <c r="F2186" s="15">
        <v>80</v>
      </c>
      <c r="G2186" s="89">
        <v>109</v>
      </c>
      <c r="H2186" s="78"/>
    </row>
    <row r="2187" spans="1:8" x14ac:dyDescent="0.25">
      <c r="A2187" s="257"/>
      <c r="B2187" s="260"/>
      <c r="C2187" s="25" t="s">
        <v>13</v>
      </c>
      <c r="D2187" s="255"/>
      <c r="E2187" s="98" t="s">
        <v>280</v>
      </c>
      <c r="F2187" s="15"/>
      <c r="G2187" s="89">
        <v>109</v>
      </c>
      <c r="H2187" s="78"/>
    </row>
    <row r="2188" spans="1:8" x14ac:dyDescent="0.25">
      <c r="A2188" s="257"/>
      <c r="B2188" s="260"/>
      <c r="C2188" s="25" t="s">
        <v>13</v>
      </c>
      <c r="D2188" s="255">
        <v>4</v>
      </c>
      <c r="E2188" s="98" t="s">
        <v>90</v>
      </c>
      <c r="F2188" s="15">
        <v>50</v>
      </c>
      <c r="G2188" s="89">
        <v>105</v>
      </c>
      <c r="H2188" s="78"/>
    </row>
    <row r="2189" spans="1:8" x14ac:dyDescent="0.25">
      <c r="A2189" s="257"/>
      <c r="B2189" s="260"/>
      <c r="C2189" s="25" t="s">
        <v>13</v>
      </c>
      <c r="D2189" s="255"/>
      <c r="E2189" s="98" t="s">
        <v>456</v>
      </c>
      <c r="F2189" s="15">
        <v>62</v>
      </c>
      <c r="G2189" s="89">
        <v>105</v>
      </c>
      <c r="H2189" s="78"/>
    </row>
    <row r="2190" spans="1:8" ht="31.5" x14ac:dyDescent="0.25">
      <c r="A2190" s="257"/>
      <c r="B2190" s="260"/>
      <c r="C2190" s="25" t="s">
        <v>13</v>
      </c>
      <c r="D2190" s="255"/>
      <c r="E2190" s="98" t="s">
        <v>280</v>
      </c>
      <c r="F2190" s="15"/>
      <c r="G2190" s="89">
        <v>105</v>
      </c>
      <c r="H2190" s="78" t="s">
        <v>375</v>
      </c>
    </row>
    <row r="2191" spans="1:8" x14ac:dyDescent="0.25">
      <c r="A2191" s="257"/>
      <c r="B2191" s="260"/>
      <c r="C2191" s="25" t="s">
        <v>13</v>
      </c>
      <c r="D2191" s="255">
        <v>4</v>
      </c>
      <c r="E2191" s="98" t="s">
        <v>90</v>
      </c>
      <c r="F2191" s="15">
        <v>39</v>
      </c>
      <c r="G2191" s="89">
        <v>116</v>
      </c>
      <c r="H2191" s="78" t="s">
        <v>125</v>
      </c>
    </row>
    <row r="2192" spans="1:8" x14ac:dyDescent="0.25">
      <c r="A2192" s="257"/>
      <c r="B2192" s="260"/>
      <c r="C2192" s="25" t="s">
        <v>13</v>
      </c>
      <c r="D2192" s="255"/>
      <c r="E2192" s="98" t="s">
        <v>456</v>
      </c>
      <c r="F2192" s="15">
        <v>68</v>
      </c>
      <c r="G2192" s="89">
        <v>116</v>
      </c>
      <c r="H2192" s="78"/>
    </row>
    <row r="2193" spans="1:8" ht="31.5" x14ac:dyDescent="0.25">
      <c r="A2193" s="257"/>
      <c r="B2193" s="260"/>
      <c r="C2193" s="25" t="s">
        <v>13</v>
      </c>
      <c r="D2193" s="255"/>
      <c r="E2193" s="98" t="s">
        <v>280</v>
      </c>
      <c r="F2193" s="15"/>
      <c r="G2193" s="89">
        <v>116</v>
      </c>
      <c r="H2193" s="78" t="s">
        <v>375</v>
      </c>
    </row>
    <row r="2194" spans="1:8" x14ac:dyDescent="0.25">
      <c r="A2194" s="257"/>
      <c r="B2194" s="260"/>
      <c r="C2194" s="25" t="s">
        <v>13</v>
      </c>
      <c r="D2194" s="248">
        <v>1</v>
      </c>
      <c r="E2194" s="98" t="s">
        <v>229</v>
      </c>
      <c r="F2194" s="15"/>
      <c r="G2194" s="89"/>
      <c r="H2194" s="78"/>
    </row>
    <row r="2195" spans="1:8" x14ac:dyDescent="0.25">
      <c r="A2195" s="257">
        <v>46186</v>
      </c>
      <c r="B2195" s="260" t="s">
        <v>5</v>
      </c>
      <c r="C2195" s="25" t="s">
        <v>6</v>
      </c>
      <c r="D2195" s="248">
        <v>1</v>
      </c>
      <c r="E2195" s="98" t="s">
        <v>329</v>
      </c>
      <c r="F2195" s="15"/>
      <c r="G2195" s="89">
        <v>111</v>
      </c>
      <c r="H2195" s="78" t="s">
        <v>478</v>
      </c>
    </row>
    <row r="2196" spans="1:8" x14ac:dyDescent="0.25">
      <c r="A2196" s="257"/>
      <c r="B2196" s="260"/>
      <c r="C2196" s="25" t="s">
        <v>6</v>
      </c>
      <c r="D2196" s="248">
        <v>2</v>
      </c>
      <c r="E2196" s="98" t="s">
        <v>329</v>
      </c>
      <c r="F2196" s="15"/>
      <c r="G2196" s="89">
        <v>117</v>
      </c>
      <c r="H2196" s="78" t="s">
        <v>479</v>
      </c>
    </row>
    <row r="2197" spans="1:8" x14ac:dyDescent="0.25">
      <c r="A2197" s="257"/>
      <c r="B2197" s="260"/>
      <c r="C2197" s="25" t="s">
        <v>6</v>
      </c>
      <c r="D2197" s="265">
        <v>4</v>
      </c>
      <c r="E2197" s="98" t="s">
        <v>329</v>
      </c>
      <c r="F2197" s="15"/>
      <c r="G2197" s="89">
        <v>101</v>
      </c>
      <c r="H2197" s="78" t="s">
        <v>480</v>
      </c>
    </row>
    <row r="2198" spans="1:8" x14ac:dyDescent="0.25">
      <c r="A2198" s="257"/>
      <c r="B2198" s="260"/>
      <c r="C2198" s="25" t="s">
        <v>6</v>
      </c>
      <c r="D2198" s="263"/>
      <c r="E2198" s="98" t="s">
        <v>523</v>
      </c>
      <c r="F2198" s="15"/>
      <c r="G2198" s="89"/>
      <c r="H2198" s="78" t="s">
        <v>481</v>
      </c>
    </row>
    <row r="2199" spans="1:8" x14ac:dyDescent="0.25">
      <c r="A2199" s="257"/>
      <c r="B2199" s="260"/>
      <c r="C2199" s="25" t="s">
        <v>6</v>
      </c>
      <c r="D2199" s="264"/>
      <c r="E2199" s="98" t="s">
        <v>346</v>
      </c>
      <c r="F2199" s="15"/>
      <c r="G2199" s="89"/>
      <c r="H2199" s="78"/>
    </row>
    <row r="2200" spans="1:8" x14ac:dyDescent="0.25">
      <c r="A2200" s="257"/>
      <c r="B2200" s="260"/>
      <c r="C2200" s="25" t="s">
        <v>6</v>
      </c>
      <c r="D2200" s="265">
        <v>1</v>
      </c>
      <c r="E2200" s="98" t="s">
        <v>523</v>
      </c>
      <c r="F2200" s="15"/>
      <c r="G2200" s="89">
        <v>111</v>
      </c>
      <c r="H2200" s="78" t="s">
        <v>482</v>
      </c>
    </row>
    <row r="2201" spans="1:8" x14ac:dyDescent="0.25">
      <c r="A2201" s="257"/>
      <c r="B2201" s="260"/>
      <c r="C2201" s="25" t="s">
        <v>6</v>
      </c>
      <c r="D2201" s="264"/>
      <c r="E2201" s="98" t="s">
        <v>523</v>
      </c>
      <c r="F2201" s="15"/>
      <c r="G2201" s="89">
        <v>101</v>
      </c>
      <c r="H2201" s="78" t="s">
        <v>483</v>
      </c>
    </row>
    <row r="2202" spans="1:8" x14ac:dyDescent="0.25">
      <c r="A2202" s="257"/>
      <c r="B2202" s="260"/>
      <c r="C2202" s="25" t="s">
        <v>6</v>
      </c>
      <c r="D2202" s="265">
        <v>6</v>
      </c>
      <c r="E2202" s="98" t="s">
        <v>58</v>
      </c>
      <c r="F2202" s="15">
        <v>24</v>
      </c>
      <c r="G2202" s="89" t="s">
        <v>40</v>
      </c>
      <c r="H2202" s="78"/>
    </row>
    <row r="2203" spans="1:8" x14ac:dyDescent="0.25">
      <c r="A2203" s="257"/>
      <c r="B2203" s="260"/>
      <c r="C2203" s="25" t="s">
        <v>6</v>
      </c>
      <c r="D2203" s="264"/>
      <c r="E2203" s="98" t="s">
        <v>199</v>
      </c>
      <c r="F2203" s="15">
        <v>4</v>
      </c>
      <c r="G2203" s="89"/>
      <c r="H2203" s="78"/>
    </row>
    <row r="2204" spans="1:8" x14ac:dyDescent="0.25">
      <c r="A2204" s="257"/>
      <c r="B2204" s="260"/>
      <c r="C2204" s="25" t="s">
        <v>6</v>
      </c>
      <c r="D2204" s="265">
        <v>4</v>
      </c>
      <c r="E2204" s="98" t="s">
        <v>147</v>
      </c>
      <c r="F2204" s="15">
        <v>8</v>
      </c>
      <c r="G2204" s="89">
        <v>111</v>
      </c>
      <c r="H2204" s="78"/>
    </row>
    <row r="2205" spans="1:8" x14ac:dyDescent="0.25">
      <c r="A2205" s="257"/>
      <c r="B2205" s="260"/>
      <c r="C2205" s="25" t="s">
        <v>6</v>
      </c>
      <c r="D2205" s="264"/>
      <c r="E2205" s="98" t="s">
        <v>199</v>
      </c>
      <c r="F2205" s="15">
        <v>1.5</v>
      </c>
      <c r="G2205" s="89"/>
      <c r="H2205" s="78"/>
    </row>
    <row r="2206" spans="1:8" x14ac:dyDescent="0.25">
      <c r="A2206" s="257"/>
      <c r="B2206" s="260"/>
      <c r="C2206" s="25" t="s">
        <v>6</v>
      </c>
      <c r="D2206" s="248">
        <v>3</v>
      </c>
      <c r="E2206" s="98" t="s">
        <v>346</v>
      </c>
      <c r="F2206" s="15"/>
      <c r="G2206" s="89" t="s">
        <v>40</v>
      </c>
      <c r="H2206" s="78"/>
    </row>
    <row r="2207" spans="1:8" x14ac:dyDescent="0.25">
      <c r="A2207" s="257"/>
      <c r="B2207" s="260"/>
      <c r="C2207" s="25" t="s">
        <v>6</v>
      </c>
      <c r="D2207" s="248">
        <v>6</v>
      </c>
      <c r="E2207" s="98" t="s">
        <v>325</v>
      </c>
      <c r="F2207" s="15">
        <v>171</v>
      </c>
      <c r="G2207" s="89">
        <v>111</v>
      </c>
      <c r="H2207" s="78"/>
    </row>
    <row r="2208" spans="1:8" x14ac:dyDescent="0.25">
      <c r="A2208" s="257"/>
      <c r="B2208" s="260"/>
      <c r="C2208" s="25" t="s">
        <v>6</v>
      </c>
      <c r="D2208" s="248">
        <v>2</v>
      </c>
      <c r="E2208" s="98" t="s">
        <v>425</v>
      </c>
      <c r="F2208" s="15">
        <v>29</v>
      </c>
      <c r="G2208" s="89" t="s">
        <v>40</v>
      </c>
      <c r="H2208" s="78" t="s">
        <v>484</v>
      </c>
    </row>
    <row r="2209" spans="1:8" x14ac:dyDescent="0.25">
      <c r="A2209" s="257"/>
      <c r="B2209" s="260"/>
      <c r="C2209" s="25" t="s">
        <v>13</v>
      </c>
      <c r="D2209" s="248">
        <v>3</v>
      </c>
      <c r="E2209" s="98" t="s">
        <v>256</v>
      </c>
      <c r="F2209" s="15"/>
      <c r="G2209" s="89"/>
      <c r="H2209" s="78"/>
    </row>
    <row r="2210" spans="1:8" ht="31.5" x14ac:dyDescent="0.25">
      <c r="A2210" s="257"/>
      <c r="B2210" s="260"/>
      <c r="C2210" s="25" t="s">
        <v>13</v>
      </c>
      <c r="D2210" s="248">
        <v>3</v>
      </c>
      <c r="E2210" s="98" t="s">
        <v>280</v>
      </c>
      <c r="F2210" s="15"/>
      <c r="G2210" s="89"/>
      <c r="H2210" s="78" t="s">
        <v>375</v>
      </c>
    </row>
    <row r="2211" spans="1:8" ht="16.5" thickBot="1" x14ac:dyDescent="0.3">
      <c r="A2211" s="258"/>
      <c r="B2211" s="261"/>
      <c r="C2211" s="24"/>
      <c r="D2211" s="245">
        <v>3</v>
      </c>
      <c r="E2211" s="123" t="s">
        <v>229</v>
      </c>
      <c r="F2211" s="201"/>
      <c r="G2211" s="99"/>
      <c r="H2211" s="88"/>
    </row>
    <row r="2212" spans="1:8" x14ac:dyDescent="0.25">
      <c r="A2212" s="256">
        <v>46187</v>
      </c>
      <c r="B2212" s="259" t="s">
        <v>36</v>
      </c>
      <c r="C2212" s="74" t="s">
        <v>6</v>
      </c>
      <c r="D2212" s="266">
        <v>6</v>
      </c>
      <c r="E2212" s="165" t="s">
        <v>151</v>
      </c>
      <c r="F2212" s="75">
        <v>12</v>
      </c>
      <c r="G2212" s="90">
        <v>116</v>
      </c>
      <c r="H2212" s="77"/>
    </row>
    <row r="2213" spans="1:8" x14ac:dyDescent="0.25">
      <c r="A2213" s="257"/>
      <c r="B2213" s="260"/>
      <c r="C2213" s="25" t="s">
        <v>6</v>
      </c>
      <c r="D2213" s="255"/>
      <c r="E2213" s="98" t="s">
        <v>90</v>
      </c>
      <c r="F2213" s="15">
        <v>6</v>
      </c>
      <c r="G2213" s="89">
        <v>116</v>
      </c>
      <c r="H2213" s="78"/>
    </row>
    <row r="2214" spans="1:8" ht="31.5" x14ac:dyDescent="0.25">
      <c r="A2214" s="257"/>
      <c r="B2214" s="260"/>
      <c r="C2214" s="25" t="s">
        <v>6</v>
      </c>
      <c r="D2214" s="255"/>
      <c r="E2214" s="98" t="s">
        <v>280</v>
      </c>
      <c r="F2214" s="15"/>
      <c r="G2214" s="89">
        <v>116</v>
      </c>
      <c r="H2214" s="78" t="s">
        <v>375</v>
      </c>
    </row>
    <row r="2215" spans="1:8" x14ac:dyDescent="0.25">
      <c r="A2215" s="257"/>
      <c r="B2215" s="260"/>
      <c r="C2215" s="25" t="s">
        <v>13</v>
      </c>
      <c r="D2215" s="255"/>
      <c r="E2215" s="98" t="s">
        <v>90</v>
      </c>
      <c r="F2215" s="15">
        <v>6</v>
      </c>
      <c r="G2215" s="89">
        <v>108</v>
      </c>
      <c r="H2215" s="78"/>
    </row>
    <row r="2216" spans="1:8" x14ac:dyDescent="0.25">
      <c r="A2216" s="257"/>
      <c r="B2216" s="260"/>
      <c r="C2216" s="25" t="s">
        <v>13</v>
      </c>
      <c r="D2216" s="255"/>
      <c r="E2216" s="98" t="s">
        <v>90</v>
      </c>
      <c r="F2216" s="15">
        <v>6</v>
      </c>
      <c r="G2216" s="89">
        <v>109</v>
      </c>
      <c r="H2216" s="78"/>
    </row>
    <row r="2217" spans="1:8" x14ac:dyDescent="0.25">
      <c r="A2217" s="257"/>
      <c r="B2217" s="260"/>
      <c r="C2217" s="25" t="s">
        <v>13</v>
      </c>
      <c r="D2217" s="255"/>
      <c r="E2217" s="98" t="s">
        <v>90</v>
      </c>
      <c r="F2217" s="15">
        <v>6</v>
      </c>
      <c r="G2217" s="89">
        <v>110</v>
      </c>
      <c r="H2217" s="78"/>
    </row>
    <row r="2218" spans="1:8" ht="31.5" x14ac:dyDescent="0.25">
      <c r="A2218" s="257"/>
      <c r="B2218" s="260"/>
      <c r="C2218" s="25" t="s">
        <v>13</v>
      </c>
      <c r="D2218" s="255"/>
      <c r="E2218" s="98" t="s">
        <v>280</v>
      </c>
      <c r="F2218" s="15"/>
      <c r="G2218" s="89">
        <v>110</v>
      </c>
      <c r="H2218" s="78" t="s">
        <v>375</v>
      </c>
    </row>
    <row r="2219" spans="1:8" x14ac:dyDescent="0.25">
      <c r="A2219" s="257"/>
      <c r="B2219" s="260"/>
      <c r="C2219" s="25" t="s">
        <v>13</v>
      </c>
      <c r="D2219" s="255">
        <v>6</v>
      </c>
      <c r="E2219" s="98" t="s">
        <v>147</v>
      </c>
      <c r="F2219" s="15">
        <v>4</v>
      </c>
      <c r="G2219" s="89">
        <v>109</v>
      </c>
      <c r="H2219" s="78" t="s">
        <v>125</v>
      </c>
    </row>
    <row r="2220" spans="1:8" x14ac:dyDescent="0.25">
      <c r="A2220" s="257"/>
      <c r="B2220" s="260"/>
      <c r="C2220" s="25" t="s">
        <v>13</v>
      </c>
      <c r="D2220" s="255"/>
      <c r="E2220" s="98" t="s">
        <v>356</v>
      </c>
      <c r="F2220" s="15"/>
      <c r="G2220" s="89">
        <v>109</v>
      </c>
      <c r="H2220" s="78"/>
    </row>
    <row r="2221" spans="1:8" x14ac:dyDescent="0.25">
      <c r="A2221" s="257"/>
      <c r="B2221" s="260"/>
      <c r="C2221" s="25" t="s">
        <v>13</v>
      </c>
      <c r="D2221" s="255"/>
      <c r="E2221" s="98" t="s">
        <v>217</v>
      </c>
      <c r="F2221" s="15">
        <v>70</v>
      </c>
      <c r="G2221" s="89">
        <v>109</v>
      </c>
      <c r="H2221" s="78"/>
    </row>
    <row r="2222" spans="1:8" x14ac:dyDescent="0.25">
      <c r="A2222" s="257"/>
      <c r="B2222" s="260"/>
      <c r="C2222" s="25" t="s">
        <v>13</v>
      </c>
      <c r="D2222" s="255"/>
      <c r="E2222" s="98" t="s">
        <v>217</v>
      </c>
      <c r="F2222" s="15">
        <v>25</v>
      </c>
      <c r="G2222" s="89">
        <v>110</v>
      </c>
      <c r="H2222" s="78" t="s">
        <v>125</v>
      </c>
    </row>
    <row r="2223" spans="1:8" x14ac:dyDescent="0.25">
      <c r="A2223" s="257"/>
      <c r="B2223" s="260"/>
      <c r="C2223" s="25"/>
      <c r="D2223" s="248">
        <v>2</v>
      </c>
      <c r="E2223" s="98" t="s">
        <v>218</v>
      </c>
      <c r="F2223" s="15"/>
      <c r="G2223" s="89"/>
      <c r="H2223" s="78"/>
    </row>
    <row r="2224" spans="1:8" x14ac:dyDescent="0.25">
      <c r="A2224" s="257">
        <v>46187</v>
      </c>
      <c r="B2224" s="260" t="s">
        <v>5</v>
      </c>
      <c r="C2224" s="25" t="s">
        <v>6</v>
      </c>
      <c r="D2224" s="248">
        <v>2</v>
      </c>
      <c r="E2224" s="98" t="s">
        <v>329</v>
      </c>
      <c r="F2224" s="15"/>
      <c r="G2224" s="89">
        <v>111</v>
      </c>
      <c r="H2224" s="78" t="s">
        <v>485</v>
      </c>
    </row>
    <row r="2225" spans="1:8" x14ac:dyDescent="0.25">
      <c r="A2225" s="257"/>
      <c r="B2225" s="260"/>
      <c r="C2225" s="25" t="s">
        <v>6</v>
      </c>
      <c r="D2225" s="248">
        <v>2</v>
      </c>
      <c r="E2225" s="98" t="s">
        <v>329</v>
      </c>
      <c r="F2225" s="15"/>
      <c r="G2225" s="89">
        <v>101</v>
      </c>
      <c r="H2225" s="78" t="s">
        <v>486</v>
      </c>
    </row>
    <row r="2226" spans="1:8" x14ac:dyDescent="0.25">
      <c r="A2226" s="257"/>
      <c r="B2226" s="260"/>
      <c r="C2226" s="25" t="s">
        <v>6</v>
      </c>
      <c r="D2226" s="255">
        <v>4</v>
      </c>
      <c r="E2226" s="98" t="s">
        <v>147</v>
      </c>
      <c r="F2226" s="15">
        <v>3</v>
      </c>
      <c r="G2226" s="89">
        <v>111</v>
      </c>
      <c r="H2226" s="78"/>
    </row>
    <row r="2227" spans="1:8" x14ac:dyDescent="0.25">
      <c r="A2227" s="257"/>
      <c r="B2227" s="260"/>
      <c r="C2227" s="25" t="s">
        <v>6</v>
      </c>
      <c r="D2227" s="255"/>
      <c r="E2227" s="98" t="s">
        <v>147</v>
      </c>
      <c r="F2227" s="15">
        <v>3</v>
      </c>
      <c r="G2227" s="89">
        <v>101</v>
      </c>
      <c r="H2227" s="78"/>
    </row>
    <row r="2228" spans="1:8" x14ac:dyDescent="0.25">
      <c r="A2228" s="257"/>
      <c r="B2228" s="260"/>
      <c r="C2228" s="25" t="s">
        <v>6</v>
      </c>
      <c r="D2228" s="255"/>
      <c r="E2228" s="98" t="s">
        <v>280</v>
      </c>
      <c r="F2228" s="15"/>
      <c r="G2228" s="89"/>
      <c r="H2228" s="78"/>
    </row>
    <row r="2229" spans="1:8" x14ac:dyDescent="0.25">
      <c r="A2229" s="257"/>
      <c r="B2229" s="260"/>
      <c r="C2229" s="25" t="s">
        <v>6</v>
      </c>
      <c r="D2229" s="248">
        <v>2</v>
      </c>
      <c r="E2229" s="98" t="s">
        <v>329</v>
      </c>
      <c r="F2229" s="15"/>
      <c r="G2229" s="89" t="s">
        <v>159</v>
      </c>
      <c r="H2229" s="78" t="s">
        <v>487</v>
      </c>
    </row>
    <row r="2230" spans="1:8" x14ac:dyDescent="0.25">
      <c r="A2230" s="257"/>
      <c r="B2230" s="260"/>
      <c r="C2230" s="25" t="s">
        <v>6</v>
      </c>
      <c r="D2230" s="255">
        <v>4</v>
      </c>
      <c r="E2230" s="98" t="s">
        <v>58</v>
      </c>
      <c r="F2230" s="15">
        <v>32</v>
      </c>
      <c r="G2230" s="89" t="s">
        <v>40</v>
      </c>
      <c r="H2230" s="78"/>
    </row>
    <row r="2231" spans="1:8" x14ac:dyDescent="0.25">
      <c r="A2231" s="257"/>
      <c r="B2231" s="260"/>
      <c r="C2231" s="25" t="s">
        <v>6</v>
      </c>
      <c r="D2231" s="255"/>
      <c r="E2231" s="98" t="s">
        <v>199</v>
      </c>
      <c r="F2231" s="15">
        <v>4</v>
      </c>
      <c r="G2231" s="89"/>
      <c r="H2231" s="78"/>
    </row>
    <row r="2232" spans="1:8" x14ac:dyDescent="0.25">
      <c r="A2232" s="257"/>
      <c r="B2232" s="260"/>
      <c r="C2232" s="25" t="s">
        <v>6</v>
      </c>
      <c r="D2232" s="255"/>
      <c r="E2232" s="98" t="s">
        <v>82</v>
      </c>
      <c r="F2232" s="15">
        <v>8</v>
      </c>
      <c r="G2232" s="89"/>
      <c r="H2232" s="78"/>
    </row>
    <row r="2233" spans="1:8" x14ac:dyDescent="0.25">
      <c r="A2233" s="257"/>
      <c r="B2233" s="260"/>
      <c r="C2233" s="25" t="s">
        <v>6</v>
      </c>
      <c r="D2233" s="248">
        <v>6</v>
      </c>
      <c r="E2233" s="98" t="s">
        <v>325</v>
      </c>
      <c r="F2233" s="15">
        <v>161</v>
      </c>
      <c r="G2233" s="89">
        <v>101</v>
      </c>
      <c r="H2233" s="78"/>
    </row>
    <row r="2234" spans="1:8" x14ac:dyDescent="0.25">
      <c r="A2234" s="257"/>
      <c r="B2234" s="260"/>
      <c r="C2234" s="25" t="s">
        <v>6</v>
      </c>
      <c r="D2234" s="248">
        <v>2</v>
      </c>
      <c r="E2234" s="98" t="s">
        <v>256</v>
      </c>
      <c r="F2234" s="15"/>
      <c r="G2234" s="89">
        <v>116</v>
      </c>
      <c r="H2234" s="78"/>
    </row>
    <row r="2235" spans="1:8" x14ac:dyDescent="0.25">
      <c r="A2235" s="257"/>
      <c r="B2235" s="260"/>
      <c r="C2235" s="25" t="s">
        <v>13</v>
      </c>
      <c r="D2235" s="248">
        <v>2</v>
      </c>
      <c r="E2235" s="98" t="s">
        <v>256</v>
      </c>
      <c r="F2235" s="15"/>
      <c r="G2235" s="89">
        <v>116</v>
      </c>
      <c r="H2235" s="78"/>
    </row>
    <row r="2236" spans="1:8" x14ac:dyDescent="0.25">
      <c r="A2236" s="257"/>
      <c r="B2236" s="260"/>
      <c r="C2236" s="25" t="s">
        <v>13</v>
      </c>
      <c r="D2236" s="255">
        <v>6</v>
      </c>
      <c r="E2236" s="98" t="s">
        <v>264</v>
      </c>
      <c r="F2236" s="15">
        <v>6</v>
      </c>
      <c r="G2236" s="89" t="s">
        <v>40</v>
      </c>
      <c r="H2236" s="78"/>
    </row>
    <row r="2237" spans="1:8" x14ac:dyDescent="0.25">
      <c r="A2237" s="257"/>
      <c r="B2237" s="260"/>
      <c r="C2237" s="25" t="s">
        <v>13</v>
      </c>
      <c r="D2237" s="255"/>
      <c r="E2237" s="98" t="s">
        <v>432</v>
      </c>
      <c r="F2237" s="15">
        <v>153</v>
      </c>
      <c r="G2237" s="89" t="s">
        <v>154</v>
      </c>
      <c r="H2237" s="78"/>
    </row>
    <row r="2238" spans="1:8" x14ac:dyDescent="0.25">
      <c r="A2238" s="257"/>
      <c r="B2238" s="260"/>
      <c r="C2238" s="25" t="s">
        <v>6</v>
      </c>
      <c r="D2238" s="248">
        <v>3</v>
      </c>
      <c r="E2238" s="98" t="s">
        <v>450</v>
      </c>
      <c r="F2238" s="15">
        <v>88</v>
      </c>
      <c r="G2238" s="89" t="s">
        <v>40</v>
      </c>
      <c r="H2238" s="78"/>
    </row>
    <row r="2239" spans="1:8" x14ac:dyDescent="0.25">
      <c r="A2239" s="257"/>
      <c r="B2239" s="260"/>
      <c r="C2239" s="25" t="s">
        <v>6</v>
      </c>
      <c r="D2239" s="255">
        <v>2</v>
      </c>
      <c r="E2239" s="98" t="s">
        <v>329</v>
      </c>
      <c r="F2239" s="15"/>
      <c r="G2239" s="89" t="s">
        <v>75</v>
      </c>
      <c r="H2239" s="78"/>
    </row>
    <row r="2240" spans="1:8" x14ac:dyDescent="0.25">
      <c r="A2240" s="257"/>
      <c r="B2240" s="260"/>
      <c r="C2240" s="25" t="s">
        <v>6</v>
      </c>
      <c r="D2240" s="255"/>
      <c r="E2240" s="98" t="s">
        <v>260</v>
      </c>
      <c r="F2240" s="15">
        <v>8</v>
      </c>
      <c r="G2240" s="89"/>
      <c r="H2240" s="78"/>
    </row>
    <row r="2241" spans="1:8" ht="16.5" thickBot="1" x14ac:dyDescent="0.3">
      <c r="A2241" s="258"/>
      <c r="B2241" s="261"/>
      <c r="C2241" s="24"/>
      <c r="D2241" s="245">
        <v>3</v>
      </c>
      <c r="E2241" s="123" t="s">
        <v>229</v>
      </c>
      <c r="F2241" s="209"/>
      <c r="G2241" s="99"/>
      <c r="H2241" s="88"/>
    </row>
    <row r="2242" spans="1:8" ht="16.5" thickBot="1" x14ac:dyDescent="0.3">
      <c r="A2242" s="256">
        <v>46188</v>
      </c>
      <c r="B2242" s="259" t="s">
        <v>36</v>
      </c>
      <c r="C2242" s="74" t="s">
        <v>6</v>
      </c>
      <c r="D2242" s="262">
        <v>5</v>
      </c>
      <c r="E2242" s="165" t="s">
        <v>151</v>
      </c>
      <c r="F2242" s="75">
        <v>25</v>
      </c>
      <c r="G2242" s="90">
        <v>116</v>
      </c>
      <c r="H2242" s="77" t="s">
        <v>125</v>
      </c>
    </row>
    <row r="2243" spans="1:8" x14ac:dyDescent="0.25">
      <c r="A2243" s="257"/>
      <c r="B2243" s="260"/>
      <c r="C2243" s="25" t="s">
        <v>6</v>
      </c>
      <c r="D2243" s="263"/>
      <c r="E2243" s="98" t="s">
        <v>456</v>
      </c>
      <c r="F2243" s="15">
        <v>30</v>
      </c>
      <c r="G2243" s="90">
        <v>116</v>
      </c>
      <c r="H2243" s="78"/>
    </row>
    <row r="2244" spans="1:8" x14ac:dyDescent="0.25">
      <c r="A2244" s="257"/>
      <c r="B2244" s="260"/>
      <c r="C2244" s="25" t="s">
        <v>6</v>
      </c>
      <c r="D2244" s="264"/>
      <c r="E2244" s="98" t="s">
        <v>280</v>
      </c>
      <c r="F2244" s="15"/>
      <c r="G2244" s="89"/>
      <c r="H2244" s="78"/>
    </row>
    <row r="2245" spans="1:8" x14ac:dyDescent="0.25">
      <c r="A2245" s="257"/>
      <c r="B2245" s="260"/>
      <c r="C2245" s="25" t="s">
        <v>13</v>
      </c>
      <c r="D2245" s="248">
        <v>3</v>
      </c>
      <c r="E2245" s="98" t="s">
        <v>85</v>
      </c>
      <c r="F2245" s="15">
        <v>26</v>
      </c>
      <c r="G2245" s="89" t="s">
        <v>40</v>
      </c>
      <c r="H2245" s="78"/>
    </row>
    <row r="2246" spans="1:8" x14ac:dyDescent="0.25">
      <c r="A2246" s="257"/>
      <c r="B2246" s="260"/>
      <c r="C2246" s="25" t="s">
        <v>488</v>
      </c>
      <c r="D2246" s="265">
        <v>3</v>
      </c>
      <c r="E2246" s="98" t="s">
        <v>399</v>
      </c>
      <c r="F2246" s="15">
        <v>13</v>
      </c>
      <c r="G2246" s="89" t="s">
        <v>40</v>
      </c>
      <c r="H2246" s="78"/>
    </row>
    <row r="2247" spans="1:8" x14ac:dyDescent="0.25">
      <c r="A2247" s="257"/>
      <c r="B2247" s="260"/>
      <c r="C2247" s="25" t="s">
        <v>488</v>
      </c>
      <c r="D2247" s="263"/>
      <c r="E2247" s="98" t="s">
        <v>199</v>
      </c>
      <c r="F2247" s="15">
        <v>2.5</v>
      </c>
      <c r="G2247" s="89" t="s">
        <v>40</v>
      </c>
      <c r="H2247" s="78"/>
    </row>
    <row r="2248" spans="1:8" x14ac:dyDescent="0.25">
      <c r="A2248" s="257"/>
      <c r="B2248" s="260"/>
      <c r="C2248" s="25" t="s">
        <v>488</v>
      </c>
      <c r="D2248" s="264"/>
      <c r="E2248" s="98" t="s">
        <v>78</v>
      </c>
      <c r="F2248" s="15">
        <v>18</v>
      </c>
      <c r="G2248" s="89" t="s">
        <v>40</v>
      </c>
      <c r="H2248" s="78"/>
    </row>
    <row r="2249" spans="1:8" x14ac:dyDescent="0.25">
      <c r="A2249" s="257">
        <v>46188</v>
      </c>
      <c r="B2249" s="260" t="s">
        <v>5</v>
      </c>
      <c r="C2249" s="25" t="s">
        <v>6</v>
      </c>
      <c r="D2249" s="248">
        <v>4</v>
      </c>
      <c r="E2249" s="98" t="s">
        <v>147</v>
      </c>
      <c r="F2249" s="15">
        <v>4</v>
      </c>
      <c r="G2249" s="89">
        <v>116</v>
      </c>
      <c r="H2249" s="78"/>
    </row>
    <row r="2250" spans="1:8" x14ac:dyDescent="0.25">
      <c r="A2250" s="257"/>
      <c r="B2250" s="260"/>
      <c r="C2250" s="25" t="s">
        <v>6</v>
      </c>
      <c r="D2250" s="248">
        <v>2</v>
      </c>
      <c r="E2250" s="98" t="s">
        <v>23</v>
      </c>
      <c r="F2250" s="15">
        <v>2</v>
      </c>
      <c r="G2250" s="89">
        <v>115</v>
      </c>
      <c r="H2250" s="78" t="s">
        <v>494</v>
      </c>
    </row>
    <row r="2251" spans="1:8" x14ac:dyDescent="0.25">
      <c r="A2251" s="257"/>
      <c r="B2251" s="260"/>
      <c r="C2251" s="25" t="s">
        <v>6</v>
      </c>
      <c r="D2251" s="248">
        <v>3</v>
      </c>
      <c r="E2251" s="98" t="s">
        <v>271</v>
      </c>
      <c r="F2251" s="15">
        <v>20</v>
      </c>
      <c r="G2251" s="89">
        <v>116</v>
      </c>
      <c r="H2251" s="78" t="s">
        <v>495</v>
      </c>
    </row>
    <row r="2252" spans="1:8" x14ac:dyDescent="0.25">
      <c r="A2252" s="257"/>
      <c r="B2252" s="260"/>
      <c r="C2252" s="25" t="s">
        <v>6</v>
      </c>
      <c r="D2252" s="248"/>
      <c r="E2252" s="98" t="s">
        <v>260</v>
      </c>
      <c r="F2252" s="15">
        <v>18</v>
      </c>
      <c r="G2252" s="89">
        <v>116</v>
      </c>
      <c r="H2252" s="78"/>
    </row>
    <row r="2253" spans="1:8" x14ac:dyDescent="0.25">
      <c r="A2253" s="257"/>
      <c r="B2253" s="260"/>
      <c r="C2253" s="25" t="s">
        <v>6</v>
      </c>
      <c r="D2253" s="265">
        <v>4</v>
      </c>
      <c r="E2253" s="98" t="s">
        <v>489</v>
      </c>
      <c r="F2253" s="15">
        <v>31</v>
      </c>
      <c r="G2253" s="89">
        <v>111</v>
      </c>
      <c r="H2253" s="78"/>
    </row>
    <row r="2254" spans="1:8" x14ac:dyDescent="0.25">
      <c r="A2254" s="257"/>
      <c r="B2254" s="260"/>
      <c r="C2254" s="25" t="s">
        <v>6</v>
      </c>
      <c r="D2254" s="264"/>
      <c r="E2254" s="98" t="s">
        <v>260</v>
      </c>
      <c r="F2254" s="15">
        <v>13</v>
      </c>
      <c r="G2254" s="89">
        <v>111</v>
      </c>
      <c r="H2254" s="78"/>
    </row>
    <row r="2255" spans="1:8" x14ac:dyDescent="0.25">
      <c r="A2255" s="257"/>
      <c r="B2255" s="260"/>
      <c r="C2255" s="25" t="s">
        <v>6</v>
      </c>
      <c r="D2255" s="248">
        <v>2</v>
      </c>
      <c r="E2255" s="98" t="s">
        <v>58</v>
      </c>
      <c r="F2255" s="15">
        <v>6</v>
      </c>
      <c r="G2255" s="89" t="s">
        <v>159</v>
      </c>
      <c r="H2255" s="78"/>
    </row>
    <row r="2256" spans="1:8" x14ac:dyDescent="0.25">
      <c r="A2256" s="257"/>
      <c r="B2256" s="260"/>
      <c r="C2256" s="25" t="s">
        <v>13</v>
      </c>
      <c r="D2256" s="248">
        <v>2</v>
      </c>
      <c r="E2256" s="98" t="s">
        <v>356</v>
      </c>
      <c r="F2256" s="15"/>
      <c r="G2256" s="89" t="s">
        <v>433</v>
      </c>
      <c r="H2256" s="78" t="s">
        <v>490</v>
      </c>
    </row>
    <row r="2257" spans="1:8" x14ac:dyDescent="0.25">
      <c r="A2257" s="257"/>
      <c r="B2257" s="260"/>
      <c r="C2257" s="25" t="s">
        <v>13</v>
      </c>
      <c r="D2257" s="265">
        <v>5</v>
      </c>
      <c r="E2257" s="98" t="s">
        <v>78</v>
      </c>
      <c r="F2257" s="15">
        <v>-18</v>
      </c>
      <c r="G2257" s="89" t="s">
        <v>40</v>
      </c>
      <c r="H2257" s="78" t="s">
        <v>492</v>
      </c>
    </row>
    <row r="2258" spans="1:8" x14ac:dyDescent="0.25">
      <c r="A2258" s="257"/>
      <c r="B2258" s="260"/>
      <c r="C2258" s="25" t="s">
        <v>13</v>
      </c>
      <c r="D2258" s="264"/>
      <c r="E2258" s="98" t="s">
        <v>317</v>
      </c>
      <c r="F2258" s="15">
        <v>22</v>
      </c>
      <c r="G2258" s="89" t="s">
        <v>40</v>
      </c>
      <c r="H2258" s="78" t="s">
        <v>491</v>
      </c>
    </row>
    <row r="2259" spans="1:8" x14ac:dyDescent="0.25">
      <c r="A2259" s="257"/>
      <c r="B2259" s="260"/>
      <c r="C2259" s="25" t="s">
        <v>13</v>
      </c>
      <c r="D2259" s="265">
        <v>3</v>
      </c>
      <c r="E2259" s="98" t="s">
        <v>85</v>
      </c>
      <c r="F2259" s="15">
        <v>2</v>
      </c>
      <c r="G2259" s="89">
        <v>117</v>
      </c>
      <c r="H2259" s="78"/>
    </row>
    <row r="2260" spans="1:8" x14ac:dyDescent="0.25">
      <c r="A2260" s="257"/>
      <c r="B2260" s="260"/>
      <c r="C2260" s="25" t="s">
        <v>13</v>
      </c>
      <c r="D2260" s="264"/>
      <c r="E2260" s="98" t="s">
        <v>199</v>
      </c>
      <c r="F2260" s="15">
        <v>2</v>
      </c>
      <c r="G2260" s="89">
        <v>117</v>
      </c>
      <c r="H2260" s="78"/>
    </row>
    <row r="2261" spans="1:8" x14ac:dyDescent="0.25">
      <c r="A2261" s="257"/>
      <c r="B2261" s="260"/>
      <c r="C2261" s="25" t="s">
        <v>6</v>
      </c>
      <c r="D2261" s="248">
        <v>1</v>
      </c>
      <c r="E2261" s="98" t="s">
        <v>523</v>
      </c>
      <c r="F2261" s="15"/>
      <c r="G2261" s="89">
        <v>101</v>
      </c>
      <c r="H2261" s="78" t="s">
        <v>486</v>
      </c>
    </row>
    <row r="2262" spans="1:8" x14ac:dyDescent="0.25">
      <c r="A2262" s="257"/>
      <c r="B2262" s="260"/>
      <c r="C2262" s="25" t="s">
        <v>6</v>
      </c>
      <c r="D2262" s="248">
        <v>1</v>
      </c>
      <c r="E2262" s="98" t="s">
        <v>329</v>
      </c>
      <c r="F2262" s="15"/>
      <c r="G2262" s="89">
        <v>101</v>
      </c>
      <c r="H2262" s="78" t="s">
        <v>493</v>
      </c>
    </row>
    <row r="2263" spans="1:8" x14ac:dyDescent="0.25">
      <c r="A2263" s="257"/>
      <c r="B2263" s="260"/>
      <c r="C2263" s="25" t="s">
        <v>6</v>
      </c>
      <c r="D2263" s="265">
        <v>3</v>
      </c>
      <c r="E2263" s="98" t="s">
        <v>151</v>
      </c>
      <c r="F2263" s="15">
        <v>20</v>
      </c>
      <c r="G2263" s="89">
        <v>116</v>
      </c>
      <c r="H2263" s="78"/>
    </row>
    <row r="2264" spans="1:8" x14ac:dyDescent="0.25">
      <c r="A2264" s="257"/>
      <c r="B2264" s="260"/>
      <c r="C2264" s="25" t="s">
        <v>6</v>
      </c>
      <c r="D2264" s="264"/>
      <c r="E2264" s="98" t="s">
        <v>456</v>
      </c>
      <c r="F2264" s="15">
        <v>30</v>
      </c>
      <c r="G2264" s="89">
        <v>116</v>
      </c>
      <c r="H2264" s="78"/>
    </row>
    <row r="2265" spans="1:8" ht="16.5" thickBot="1" x14ac:dyDescent="0.3">
      <c r="A2265" s="258"/>
      <c r="B2265" s="261"/>
      <c r="C2265" s="24"/>
      <c r="D2265" s="245">
        <v>3</v>
      </c>
      <c r="E2265" s="123" t="s">
        <v>229</v>
      </c>
      <c r="F2265" s="213"/>
      <c r="G2265" s="99"/>
      <c r="H2265" s="88"/>
    </row>
    <row r="2266" spans="1:8" x14ac:dyDescent="0.25">
      <c r="A2266" s="256">
        <v>46189</v>
      </c>
      <c r="B2266" s="259" t="s">
        <v>5</v>
      </c>
      <c r="C2266" s="74" t="s">
        <v>13</v>
      </c>
      <c r="D2266" s="262">
        <v>6</v>
      </c>
      <c r="E2266" s="165" t="s">
        <v>317</v>
      </c>
      <c r="F2266" s="75">
        <v>22</v>
      </c>
      <c r="G2266" s="90" t="s">
        <v>40</v>
      </c>
      <c r="H2266" s="77" t="s">
        <v>491</v>
      </c>
    </row>
    <row r="2267" spans="1:8" x14ac:dyDescent="0.25">
      <c r="A2267" s="257"/>
      <c r="B2267" s="260"/>
      <c r="C2267" s="25" t="s">
        <v>13</v>
      </c>
      <c r="D2267" s="263"/>
      <c r="E2267" s="98" t="s">
        <v>199</v>
      </c>
      <c r="F2267" s="15">
        <v>2</v>
      </c>
      <c r="G2267" s="89" t="s">
        <v>40</v>
      </c>
      <c r="H2267" s="78" t="s">
        <v>491</v>
      </c>
    </row>
    <row r="2268" spans="1:8" x14ac:dyDescent="0.25">
      <c r="A2268" s="257"/>
      <c r="B2268" s="260"/>
      <c r="C2268" s="25" t="s">
        <v>13</v>
      </c>
      <c r="D2268" s="263"/>
      <c r="E2268" s="98" t="s">
        <v>85</v>
      </c>
      <c r="F2268" s="15">
        <v>4</v>
      </c>
      <c r="G2268" s="89" t="s">
        <v>40</v>
      </c>
      <c r="H2268" s="78" t="s">
        <v>491</v>
      </c>
    </row>
    <row r="2269" spans="1:8" x14ac:dyDescent="0.25">
      <c r="A2269" s="257"/>
      <c r="B2269" s="260"/>
      <c r="C2269" s="25" t="s">
        <v>13</v>
      </c>
      <c r="D2269" s="264"/>
      <c r="E2269" s="98" t="s">
        <v>82</v>
      </c>
      <c r="F2269" s="15">
        <v>8</v>
      </c>
      <c r="G2269" s="89" t="s">
        <v>40</v>
      </c>
      <c r="H2269" s="78" t="s">
        <v>491</v>
      </c>
    </row>
    <row r="2270" spans="1:8" x14ac:dyDescent="0.25">
      <c r="A2270" s="257"/>
      <c r="B2270" s="260"/>
      <c r="C2270" s="25" t="s">
        <v>6</v>
      </c>
      <c r="D2270" s="265">
        <v>5</v>
      </c>
      <c r="E2270" s="98" t="s">
        <v>73</v>
      </c>
      <c r="F2270" s="15">
        <v>-22</v>
      </c>
      <c r="G2270" s="89">
        <v>113</v>
      </c>
      <c r="H2270" s="78" t="s">
        <v>496</v>
      </c>
    </row>
    <row r="2271" spans="1:8" x14ac:dyDescent="0.25">
      <c r="A2271" s="257"/>
      <c r="B2271" s="260"/>
      <c r="C2271" s="25" t="s">
        <v>6</v>
      </c>
      <c r="D2271" s="264"/>
      <c r="E2271" s="98" t="s">
        <v>82</v>
      </c>
      <c r="F2271" s="15">
        <v>-24</v>
      </c>
      <c r="G2271" s="89">
        <v>113</v>
      </c>
      <c r="H2271" s="78" t="s">
        <v>496</v>
      </c>
    </row>
    <row r="2272" spans="1:8" ht="17.45" customHeight="1" x14ac:dyDescent="0.25">
      <c r="A2272" s="257"/>
      <c r="B2272" s="260"/>
      <c r="C2272" s="25" t="s">
        <v>6</v>
      </c>
      <c r="D2272" s="265">
        <v>5</v>
      </c>
      <c r="E2272" s="98" t="s">
        <v>271</v>
      </c>
      <c r="F2272" s="15">
        <v>32</v>
      </c>
      <c r="G2272" s="89">
        <v>116</v>
      </c>
      <c r="H2272" s="78" t="s">
        <v>495</v>
      </c>
    </row>
    <row r="2273" spans="1:8" x14ac:dyDescent="0.25">
      <c r="A2273" s="257"/>
      <c r="B2273" s="260"/>
      <c r="C2273" s="25" t="s">
        <v>6</v>
      </c>
      <c r="D2273" s="264"/>
      <c r="E2273" s="98" t="s">
        <v>260</v>
      </c>
      <c r="F2273" s="15">
        <v>22</v>
      </c>
      <c r="G2273" s="89">
        <v>116</v>
      </c>
      <c r="H2273" s="78"/>
    </row>
    <row r="2274" spans="1:8" x14ac:dyDescent="0.25">
      <c r="A2274" s="257"/>
      <c r="B2274" s="260"/>
      <c r="C2274" s="25" t="s">
        <v>6</v>
      </c>
      <c r="D2274" s="265">
        <v>6</v>
      </c>
      <c r="E2274" s="98" t="s">
        <v>147</v>
      </c>
      <c r="F2274" s="15">
        <v>12</v>
      </c>
      <c r="G2274" s="89">
        <v>111</v>
      </c>
      <c r="H2274" s="78" t="s">
        <v>497</v>
      </c>
    </row>
    <row r="2275" spans="1:8" x14ac:dyDescent="0.25">
      <c r="A2275" s="257"/>
      <c r="B2275" s="260"/>
      <c r="C2275" s="25" t="s">
        <v>6</v>
      </c>
      <c r="D2275" s="263"/>
      <c r="E2275" s="98" t="s">
        <v>93</v>
      </c>
      <c r="F2275" s="15">
        <v>6</v>
      </c>
      <c r="G2275" s="89">
        <v>111</v>
      </c>
      <c r="H2275" s="78"/>
    </row>
    <row r="2276" spans="1:8" x14ac:dyDescent="0.25">
      <c r="A2276" s="257"/>
      <c r="B2276" s="260"/>
      <c r="C2276" s="25" t="s">
        <v>6</v>
      </c>
      <c r="D2276" s="264"/>
      <c r="E2276" s="98" t="s">
        <v>94</v>
      </c>
      <c r="F2276" s="15">
        <v>6</v>
      </c>
      <c r="G2276" s="89">
        <v>111</v>
      </c>
      <c r="H2276" s="78"/>
    </row>
    <row r="2277" spans="1:8" x14ac:dyDescent="0.25">
      <c r="A2277" s="257"/>
      <c r="B2277" s="260"/>
      <c r="C2277" s="25" t="s">
        <v>6</v>
      </c>
      <c r="D2277" s="265">
        <v>6</v>
      </c>
      <c r="E2277" s="98" t="s">
        <v>271</v>
      </c>
      <c r="F2277" s="15">
        <v>7</v>
      </c>
      <c r="G2277" s="89">
        <v>115</v>
      </c>
      <c r="H2277" s="78"/>
    </row>
    <row r="2278" spans="1:8" x14ac:dyDescent="0.25">
      <c r="A2278" s="257"/>
      <c r="B2278" s="260"/>
      <c r="C2278" s="25" t="s">
        <v>6</v>
      </c>
      <c r="D2278" s="264"/>
      <c r="E2278" s="98" t="s">
        <v>26</v>
      </c>
      <c r="F2278" s="15">
        <v>6</v>
      </c>
      <c r="G2278" s="89">
        <v>115</v>
      </c>
      <c r="H2278" s="78"/>
    </row>
    <row r="2279" spans="1:8" x14ac:dyDescent="0.25">
      <c r="A2279" s="257"/>
      <c r="B2279" s="260"/>
      <c r="C2279" s="25" t="s">
        <v>6</v>
      </c>
      <c r="D2279" s="265">
        <v>5</v>
      </c>
      <c r="E2279" s="98" t="s">
        <v>23</v>
      </c>
      <c r="F2279" s="15">
        <v>1</v>
      </c>
      <c r="G2279" s="89">
        <v>115</v>
      </c>
      <c r="H2279" s="78" t="s">
        <v>221</v>
      </c>
    </row>
    <row r="2280" spans="1:8" x14ac:dyDescent="0.25">
      <c r="A2280" s="257"/>
      <c r="B2280" s="260"/>
      <c r="C2280" s="25" t="s">
        <v>6</v>
      </c>
      <c r="D2280" s="264"/>
      <c r="E2280" s="98" t="s">
        <v>97</v>
      </c>
      <c r="F2280" s="15">
        <v>1</v>
      </c>
      <c r="G2280" s="89">
        <v>115</v>
      </c>
      <c r="H2280" s="78" t="s">
        <v>221</v>
      </c>
    </row>
    <row r="2281" spans="1:8" x14ac:dyDescent="0.25">
      <c r="A2281" s="257"/>
      <c r="B2281" s="260"/>
      <c r="C2281" s="25" t="s">
        <v>6</v>
      </c>
      <c r="D2281" s="248">
        <v>5</v>
      </c>
      <c r="E2281" s="222" t="s">
        <v>514</v>
      </c>
      <c r="F2281" s="15">
        <v>80</v>
      </c>
      <c r="G2281" s="89">
        <v>116</v>
      </c>
      <c r="H2281" s="78"/>
    </row>
    <row r="2282" spans="1:8" x14ac:dyDescent="0.25">
      <c r="A2282" s="257"/>
      <c r="B2282" s="260"/>
      <c r="C2282" s="25" t="s">
        <v>6</v>
      </c>
      <c r="D2282" s="248">
        <v>2</v>
      </c>
      <c r="E2282" s="98" t="s">
        <v>523</v>
      </c>
      <c r="F2282" s="15"/>
      <c r="G2282" s="89">
        <v>111</v>
      </c>
      <c r="H2282" s="78" t="s">
        <v>485</v>
      </c>
    </row>
    <row r="2283" spans="1:8" x14ac:dyDescent="0.25">
      <c r="A2283" s="257"/>
      <c r="B2283" s="260"/>
      <c r="C2283" s="25" t="s">
        <v>6</v>
      </c>
      <c r="D2283" s="248">
        <v>2</v>
      </c>
      <c r="E2283" s="98" t="s">
        <v>499</v>
      </c>
      <c r="F2283" s="15">
        <v>2</v>
      </c>
      <c r="G2283" s="89">
        <v>115</v>
      </c>
      <c r="H2283" s="78"/>
    </row>
    <row r="2284" spans="1:8" x14ac:dyDescent="0.25">
      <c r="A2284" s="257"/>
      <c r="B2284" s="260"/>
      <c r="C2284" s="25" t="s">
        <v>6</v>
      </c>
      <c r="D2284" s="265">
        <v>2</v>
      </c>
      <c r="E2284" s="98" t="s">
        <v>500</v>
      </c>
      <c r="F2284" s="15">
        <v>4</v>
      </c>
      <c r="G2284" s="89" t="s">
        <v>40</v>
      </c>
      <c r="H2284" s="78" t="s">
        <v>491</v>
      </c>
    </row>
    <row r="2285" spans="1:8" x14ac:dyDescent="0.25">
      <c r="A2285" s="257"/>
      <c r="B2285" s="260"/>
      <c r="C2285" s="25" t="s">
        <v>6</v>
      </c>
      <c r="D2285" s="264"/>
      <c r="E2285" s="98" t="s">
        <v>377</v>
      </c>
      <c r="F2285" s="15">
        <v>4</v>
      </c>
      <c r="G2285" s="89" t="s">
        <v>40</v>
      </c>
      <c r="H2285" s="78" t="s">
        <v>501</v>
      </c>
    </row>
    <row r="2286" spans="1:8" x14ac:dyDescent="0.25">
      <c r="A2286" s="257"/>
      <c r="B2286" s="260"/>
      <c r="C2286" s="25" t="s">
        <v>6</v>
      </c>
      <c r="D2286" s="248">
        <v>5</v>
      </c>
      <c r="E2286" s="98" t="s">
        <v>151</v>
      </c>
      <c r="F2286" s="15">
        <v>20</v>
      </c>
      <c r="G2286" s="89">
        <v>116</v>
      </c>
      <c r="H2286" s="78"/>
    </row>
    <row r="2287" spans="1:8" ht="16.5" thickBot="1" x14ac:dyDescent="0.3">
      <c r="A2287" s="258"/>
      <c r="B2287" s="261"/>
      <c r="C2287" s="24"/>
      <c r="D2287" s="245">
        <v>3</v>
      </c>
      <c r="E2287" s="123" t="s">
        <v>229</v>
      </c>
      <c r="F2287" s="214"/>
      <c r="G2287" s="99"/>
      <c r="H2287" s="88"/>
    </row>
    <row r="2288" spans="1:8" x14ac:dyDescent="0.25">
      <c r="A2288" s="256">
        <v>46190</v>
      </c>
      <c r="B2288" s="259" t="s">
        <v>5</v>
      </c>
      <c r="C2288" s="74" t="s">
        <v>13</v>
      </c>
      <c r="D2288" s="266">
        <v>4</v>
      </c>
      <c r="E2288" s="165" t="s">
        <v>78</v>
      </c>
      <c r="F2288" s="75">
        <v>12</v>
      </c>
      <c r="G2288" s="90" t="s">
        <v>40</v>
      </c>
      <c r="H2288" s="77" t="s">
        <v>491</v>
      </c>
    </row>
    <row r="2289" spans="1:8" x14ac:dyDescent="0.25">
      <c r="A2289" s="257"/>
      <c r="B2289" s="260"/>
      <c r="C2289" s="25" t="s">
        <v>13</v>
      </c>
      <c r="D2289" s="255"/>
      <c r="E2289" s="98" t="s">
        <v>199</v>
      </c>
      <c r="F2289" s="15">
        <v>1</v>
      </c>
      <c r="G2289" s="89" t="s">
        <v>40</v>
      </c>
      <c r="H2289" s="78" t="s">
        <v>491</v>
      </c>
    </row>
    <row r="2290" spans="1:8" x14ac:dyDescent="0.25">
      <c r="A2290" s="257"/>
      <c r="B2290" s="260"/>
      <c r="C2290" s="25" t="s">
        <v>13</v>
      </c>
      <c r="D2290" s="255"/>
      <c r="E2290" s="98" t="s">
        <v>85</v>
      </c>
      <c r="F2290" s="15">
        <v>2</v>
      </c>
      <c r="G2290" s="89" t="s">
        <v>40</v>
      </c>
      <c r="H2290" s="78" t="s">
        <v>491</v>
      </c>
    </row>
    <row r="2291" spans="1:8" x14ac:dyDescent="0.25">
      <c r="A2291" s="257"/>
      <c r="B2291" s="260"/>
      <c r="C2291" s="25" t="s">
        <v>13</v>
      </c>
      <c r="D2291" s="255"/>
      <c r="E2291" s="98" t="s">
        <v>82</v>
      </c>
      <c r="F2291" s="15">
        <v>4</v>
      </c>
      <c r="G2291" s="89" t="s">
        <v>40</v>
      </c>
      <c r="H2291" s="78" t="s">
        <v>491</v>
      </c>
    </row>
    <row r="2292" spans="1:8" x14ac:dyDescent="0.25">
      <c r="A2292" s="257"/>
      <c r="B2292" s="260"/>
      <c r="C2292" s="25" t="s">
        <v>6</v>
      </c>
      <c r="D2292" s="255">
        <v>6</v>
      </c>
      <c r="E2292" s="98" t="s">
        <v>73</v>
      </c>
      <c r="F2292" s="15">
        <v>16</v>
      </c>
      <c r="G2292" s="89">
        <v>113</v>
      </c>
      <c r="H2292" s="78"/>
    </row>
    <row r="2293" spans="1:8" x14ac:dyDescent="0.25">
      <c r="A2293" s="257"/>
      <c r="B2293" s="260"/>
      <c r="C2293" s="25" t="s">
        <v>6</v>
      </c>
      <c r="D2293" s="255"/>
      <c r="E2293" s="98" t="s">
        <v>82</v>
      </c>
      <c r="F2293" s="15">
        <v>13</v>
      </c>
      <c r="G2293" s="89">
        <v>113</v>
      </c>
      <c r="H2293" s="78"/>
    </row>
    <row r="2294" spans="1:8" x14ac:dyDescent="0.25">
      <c r="A2294" s="257"/>
      <c r="B2294" s="260"/>
      <c r="C2294" s="25" t="s">
        <v>6</v>
      </c>
      <c r="D2294" s="255"/>
      <c r="E2294" s="98" t="s">
        <v>63</v>
      </c>
      <c r="F2294" s="15">
        <v>18</v>
      </c>
      <c r="G2294" s="89">
        <v>113</v>
      </c>
      <c r="H2294" s="78" t="s">
        <v>502</v>
      </c>
    </row>
    <row r="2295" spans="1:8" x14ac:dyDescent="0.25">
      <c r="A2295" s="257"/>
      <c r="B2295" s="260"/>
      <c r="C2295" s="25" t="s">
        <v>6</v>
      </c>
      <c r="D2295" s="255"/>
      <c r="E2295" s="98" t="s">
        <v>346</v>
      </c>
      <c r="F2295" s="15">
        <v>18</v>
      </c>
      <c r="G2295" s="89">
        <v>113</v>
      </c>
      <c r="H2295" s="78"/>
    </row>
    <row r="2296" spans="1:8" x14ac:dyDescent="0.25">
      <c r="A2296" s="257"/>
      <c r="B2296" s="260"/>
      <c r="C2296" s="25" t="s">
        <v>6</v>
      </c>
      <c r="D2296" s="255"/>
      <c r="E2296" s="98" t="s">
        <v>219</v>
      </c>
      <c r="F2296" s="15">
        <v>6</v>
      </c>
      <c r="G2296" s="89">
        <v>113</v>
      </c>
      <c r="H2296" s="78" t="s">
        <v>506</v>
      </c>
    </row>
    <row r="2297" spans="1:8" ht="31.5" x14ac:dyDescent="0.25">
      <c r="A2297" s="257"/>
      <c r="B2297" s="260"/>
      <c r="C2297" s="25" t="s">
        <v>6</v>
      </c>
      <c r="D2297" s="248">
        <v>6</v>
      </c>
      <c r="E2297" s="222" t="s">
        <v>514</v>
      </c>
      <c r="F2297" s="15" t="s">
        <v>507</v>
      </c>
      <c r="G2297" s="89">
        <v>116</v>
      </c>
      <c r="H2297" s="78" t="s">
        <v>508</v>
      </c>
    </row>
    <row r="2298" spans="1:8" x14ac:dyDescent="0.25">
      <c r="A2298" s="257"/>
      <c r="B2298" s="260"/>
      <c r="C2298" s="25" t="s">
        <v>6</v>
      </c>
      <c r="D2298" s="255">
        <v>6</v>
      </c>
      <c r="E2298" s="98" t="s">
        <v>90</v>
      </c>
      <c r="F2298" s="15">
        <v>36</v>
      </c>
      <c r="G2298" s="89" t="s">
        <v>503</v>
      </c>
      <c r="H2298" s="78" t="s">
        <v>504</v>
      </c>
    </row>
    <row r="2299" spans="1:8" x14ac:dyDescent="0.25">
      <c r="A2299" s="257"/>
      <c r="B2299" s="260"/>
      <c r="C2299" s="25" t="s">
        <v>6</v>
      </c>
      <c r="D2299" s="255"/>
      <c r="E2299" s="98" t="s">
        <v>456</v>
      </c>
      <c r="F2299" s="15">
        <v>72</v>
      </c>
      <c r="G2299" s="89" t="s">
        <v>503</v>
      </c>
      <c r="H2299" s="78"/>
    </row>
    <row r="2300" spans="1:8" x14ac:dyDescent="0.25">
      <c r="A2300" s="257"/>
      <c r="B2300" s="260"/>
      <c r="C2300" s="25" t="s">
        <v>6</v>
      </c>
      <c r="D2300" s="255">
        <v>2</v>
      </c>
      <c r="E2300" s="98" t="s">
        <v>200</v>
      </c>
      <c r="F2300" s="15">
        <v>14</v>
      </c>
      <c r="G2300" s="89">
        <v>115</v>
      </c>
      <c r="H2300" s="78"/>
    </row>
    <row r="2301" spans="1:8" x14ac:dyDescent="0.25">
      <c r="A2301" s="257"/>
      <c r="B2301" s="260"/>
      <c r="C2301" s="25" t="s">
        <v>6</v>
      </c>
      <c r="D2301" s="255"/>
      <c r="E2301" s="98" t="s">
        <v>26</v>
      </c>
      <c r="F2301" s="15">
        <v>13</v>
      </c>
      <c r="G2301" s="89">
        <v>115</v>
      </c>
      <c r="H2301" s="78"/>
    </row>
    <row r="2302" spans="1:8" x14ac:dyDescent="0.25">
      <c r="A2302" s="257"/>
      <c r="B2302" s="260"/>
      <c r="C2302" s="25" t="s">
        <v>6</v>
      </c>
      <c r="D2302" s="255"/>
      <c r="E2302" s="98" t="s">
        <v>93</v>
      </c>
      <c r="F2302" s="15">
        <v>1</v>
      </c>
      <c r="G2302" s="89">
        <v>115</v>
      </c>
      <c r="H2302" s="78"/>
    </row>
    <row r="2303" spans="1:8" x14ac:dyDescent="0.25">
      <c r="A2303" s="257"/>
      <c r="B2303" s="260"/>
      <c r="C2303" s="25" t="s">
        <v>6</v>
      </c>
      <c r="D2303" s="255">
        <v>4</v>
      </c>
      <c r="E2303" s="98" t="s">
        <v>271</v>
      </c>
      <c r="F2303" s="15">
        <v>61</v>
      </c>
      <c r="G2303" s="89">
        <v>116</v>
      </c>
      <c r="H2303" s="78" t="s">
        <v>495</v>
      </c>
    </row>
    <row r="2304" spans="1:8" x14ac:dyDescent="0.25">
      <c r="A2304" s="257"/>
      <c r="B2304" s="260"/>
      <c r="C2304" s="25" t="s">
        <v>6</v>
      </c>
      <c r="D2304" s="255"/>
      <c r="E2304" s="98" t="s">
        <v>260</v>
      </c>
      <c r="F2304" s="15">
        <v>45</v>
      </c>
      <c r="G2304" s="89">
        <v>116</v>
      </c>
      <c r="H2304" s="78"/>
    </row>
    <row r="2305" spans="1:8" ht="31.5" x14ac:dyDescent="0.25">
      <c r="A2305" s="257"/>
      <c r="B2305" s="260"/>
      <c r="C2305" s="25" t="s">
        <v>6</v>
      </c>
      <c r="D2305" s="248">
        <v>2</v>
      </c>
      <c r="E2305" s="98" t="s">
        <v>377</v>
      </c>
      <c r="F2305" s="15">
        <v>4</v>
      </c>
      <c r="G2305" s="89" t="s">
        <v>40</v>
      </c>
      <c r="H2305" s="78" t="s">
        <v>505</v>
      </c>
    </row>
    <row r="2306" spans="1:8" x14ac:dyDescent="0.25">
      <c r="A2306" s="257"/>
      <c r="B2306" s="260"/>
      <c r="C2306" s="25" t="s">
        <v>6</v>
      </c>
      <c r="D2306" s="248">
        <v>3</v>
      </c>
      <c r="E2306" s="98" t="s">
        <v>229</v>
      </c>
      <c r="F2306" s="15"/>
      <c r="G2306" s="89"/>
      <c r="H2306" s="78"/>
    </row>
    <row r="2307" spans="1:8" x14ac:dyDescent="0.25">
      <c r="A2307" s="257"/>
      <c r="B2307" s="260"/>
      <c r="C2307" s="25" t="s">
        <v>6</v>
      </c>
      <c r="D2307" s="248">
        <v>4</v>
      </c>
      <c r="E2307" s="98" t="s">
        <v>346</v>
      </c>
      <c r="F2307" s="15"/>
      <c r="G2307" s="89" t="s">
        <v>159</v>
      </c>
      <c r="H2307" s="78"/>
    </row>
    <row r="2308" spans="1:8" x14ac:dyDescent="0.25">
      <c r="A2308" s="257"/>
      <c r="B2308" s="260"/>
      <c r="C2308" s="25" t="s">
        <v>6</v>
      </c>
      <c r="D2308" s="255">
        <v>7</v>
      </c>
      <c r="E2308" s="98" t="s">
        <v>90</v>
      </c>
      <c r="F2308" s="15">
        <v>2</v>
      </c>
      <c r="G2308" s="89">
        <v>114</v>
      </c>
      <c r="H2308" s="78"/>
    </row>
    <row r="2309" spans="1:8" x14ac:dyDescent="0.25">
      <c r="A2309" s="257"/>
      <c r="B2309" s="260"/>
      <c r="C2309" s="25" t="s">
        <v>6</v>
      </c>
      <c r="D2309" s="255"/>
      <c r="E2309" s="98" t="s">
        <v>90</v>
      </c>
      <c r="F2309" s="15">
        <v>5</v>
      </c>
      <c r="G2309" s="89">
        <v>111</v>
      </c>
      <c r="H2309" s="78"/>
    </row>
    <row r="2310" spans="1:8" x14ac:dyDescent="0.25">
      <c r="A2310" s="257"/>
      <c r="B2310" s="260"/>
      <c r="C2310" s="25" t="s">
        <v>6</v>
      </c>
      <c r="D2310" s="255"/>
      <c r="E2310" s="98" t="s">
        <v>399</v>
      </c>
      <c r="F2310" s="15">
        <v>4</v>
      </c>
      <c r="G2310" s="89">
        <v>116</v>
      </c>
      <c r="H2310" s="78"/>
    </row>
    <row r="2311" spans="1:8" x14ac:dyDescent="0.25">
      <c r="A2311" s="257"/>
      <c r="B2311" s="260"/>
      <c r="C2311" s="25" t="s">
        <v>6</v>
      </c>
      <c r="D2311" s="255"/>
      <c r="E2311" s="98" t="s">
        <v>151</v>
      </c>
      <c r="F2311" s="15">
        <v>12</v>
      </c>
      <c r="G2311" s="89">
        <v>116</v>
      </c>
      <c r="H2311" s="78"/>
    </row>
    <row r="2312" spans="1:8" x14ac:dyDescent="0.25">
      <c r="A2312" s="257"/>
      <c r="B2312" s="260"/>
      <c r="C2312" s="25" t="s">
        <v>6</v>
      </c>
      <c r="D2312" s="255"/>
      <c r="E2312" s="98" t="s">
        <v>456</v>
      </c>
      <c r="F2312" s="15">
        <v>30</v>
      </c>
      <c r="G2312" s="89">
        <v>116</v>
      </c>
      <c r="H2312" s="78"/>
    </row>
    <row r="2313" spans="1:8" x14ac:dyDescent="0.25">
      <c r="A2313" s="257"/>
      <c r="B2313" s="260"/>
      <c r="C2313" s="25" t="s">
        <v>6</v>
      </c>
      <c r="D2313" s="255">
        <v>8</v>
      </c>
      <c r="E2313" s="98" t="s">
        <v>58</v>
      </c>
      <c r="F2313" s="15">
        <v>15</v>
      </c>
      <c r="G2313" s="89">
        <v>116</v>
      </c>
      <c r="H2313" s="78"/>
    </row>
    <row r="2314" spans="1:8" x14ac:dyDescent="0.25">
      <c r="A2314" s="257"/>
      <c r="B2314" s="260"/>
      <c r="C2314" s="25" t="s">
        <v>6</v>
      </c>
      <c r="D2314" s="255"/>
      <c r="E2314" s="98" t="s">
        <v>112</v>
      </c>
      <c r="F2314" s="15">
        <v>8</v>
      </c>
      <c r="G2314" s="89">
        <v>116</v>
      </c>
      <c r="H2314" s="78"/>
    </row>
    <row r="2315" spans="1:8" x14ac:dyDescent="0.25">
      <c r="A2315" s="257"/>
      <c r="B2315" s="260"/>
      <c r="C2315" s="25" t="s">
        <v>6</v>
      </c>
      <c r="D2315" s="255"/>
      <c r="E2315" s="98" t="s">
        <v>90</v>
      </c>
      <c r="F2315" s="15">
        <v>15</v>
      </c>
      <c r="G2315" s="89">
        <v>116</v>
      </c>
      <c r="H2315" s="78"/>
    </row>
    <row r="2316" spans="1:8" x14ac:dyDescent="0.25">
      <c r="A2316" s="257"/>
      <c r="B2316" s="260"/>
      <c r="C2316" s="25" t="s">
        <v>6</v>
      </c>
      <c r="D2316" s="255"/>
      <c r="E2316" s="98" t="s">
        <v>456</v>
      </c>
      <c r="F2316" s="15">
        <v>24</v>
      </c>
      <c r="G2316" s="89">
        <v>116</v>
      </c>
      <c r="H2316" s="78"/>
    </row>
    <row r="2317" spans="1:8" ht="16.5" thickBot="1" x14ac:dyDescent="0.3">
      <c r="A2317" s="258"/>
      <c r="B2317" s="261"/>
      <c r="C2317" s="24" t="s">
        <v>6</v>
      </c>
      <c r="D2317" s="245">
        <v>1</v>
      </c>
      <c r="E2317" s="123" t="s">
        <v>206</v>
      </c>
      <c r="F2317" s="215">
        <v>20</v>
      </c>
      <c r="G2317" s="99" t="s">
        <v>75</v>
      </c>
      <c r="H2317" s="88"/>
    </row>
    <row r="2318" spans="1:8" x14ac:dyDescent="0.25">
      <c r="A2318" s="270">
        <v>46191</v>
      </c>
      <c r="B2318" s="267" t="s">
        <v>5</v>
      </c>
      <c r="C2318" s="74" t="s">
        <v>13</v>
      </c>
      <c r="D2318" s="247">
        <v>6</v>
      </c>
      <c r="E2318" s="165" t="s">
        <v>260</v>
      </c>
      <c r="F2318" s="75">
        <v>80</v>
      </c>
      <c r="G2318" s="90">
        <v>116</v>
      </c>
      <c r="H2318" s="77"/>
    </row>
    <row r="2319" spans="1:8" x14ac:dyDescent="0.25">
      <c r="A2319" s="271"/>
      <c r="B2319" s="268"/>
      <c r="C2319" s="25" t="s">
        <v>6</v>
      </c>
      <c r="D2319" s="265">
        <v>6</v>
      </c>
      <c r="E2319" s="98" t="s">
        <v>415</v>
      </c>
      <c r="F2319" s="15">
        <v>20</v>
      </c>
      <c r="G2319" s="89" t="s">
        <v>40</v>
      </c>
      <c r="H2319" s="78" t="s">
        <v>509</v>
      </c>
    </row>
    <row r="2320" spans="1:8" x14ac:dyDescent="0.25">
      <c r="A2320" s="271"/>
      <c r="B2320" s="268"/>
      <c r="C2320" s="25" t="s">
        <v>6</v>
      </c>
      <c r="D2320" s="263"/>
      <c r="E2320" s="98" t="s">
        <v>511</v>
      </c>
      <c r="F2320" s="15">
        <v>8</v>
      </c>
      <c r="G2320" s="89" t="s">
        <v>40</v>
      </c>
      <c r="H2320" s="78" t="s">
        <v>509</v>
      </c>
    </row>
    <row r="2321" spans="1:8" x14ac:dyDescent="0.25">
      <c r="A2321" s="271"/>
      <c r="B2321" s="268"/>
      <c r="C2321" s="25" t="s">
        <v>6</v>
      </c>
      <c r="D2321" s="264"/>
      <c r="E2321" s="98" t="s">
        <v>26</v>
      </c>
      <c r="F2321" s="15">
        <v>10</v>
      </c>
      <c r="G2321" s="89" t="s">
        <v>40</v>
      </c>
      <c r="H2321" s="78" t="s">
        <v>509</v>
      </c>
    </row>
    <row r="2322" spans="1:8" x14ac:dyDescent="0.25">
      <c r="A2322" s="271"/>
      <c r="B2322" s="268"/>
      <c r="C2322" s="25" t="s">
        <v>6</v>
      </c>
      <c r="D2322" s="248">
        <v>3</v>
      </c>
      <c r="E2322" s="98" t="s">
        <v>35</v>
      </c>
      <c r="F2322" s="15">
        <v>4</v>
      </c>
      <c r="G2322" s="89">
        <v>111</v>
      </c>
      <c r="H2322" s="78"/>
    </row>
    <row r="2323" spans="1:8" x14ac:dyDescent="0.25">
      <c r="A2323" s="271"/>
      <c r="B2323" s="268"/>
      <c r="C2323" s="25" t="s">
        <v>6</v>
      </c>
      <c r="D2323" s="248">
        <v>6</v>
      </c>
      <c r="E2323" s="222" t="s">
        <v>514</v>
      </c>
      <c r="F2323" s="15">
        <v>293</v>
      </c>
      <c r="G2323" s="89" t="s">
        <v>512</v>
      </c>
      <c r="H2323" s="78"/>
    </row>
    <row r="2324" spans="1:8" x14ac:dyDescent="0.25">
      <c r="A2324" s="271"/>
      <c r="B2324" s="268"/>
      <c r="C2324" s="25" t="s">
        <v>6</v>
      </c>
      <c r="D2324" s="248">
        <v>4</v>
      </c>
      <c r="E2324" s="98" t="s">
        <v>90</v>
      </c>
      <c r="F2324" s="15">
        <v>9</v>
      </c>
      <c r="G2324" s="89" t="s">
        <v>40</v>
      </c>
      <c r="H2324" s="78" t="s">
        <v>509</v>
      </c>
    </row>
    <row r="2325" spans="1:8" x14ac:dyDescent="0.25">
      <c r="A2325" s="271"/>
      <c r="B2325" s="268"/>
      <c r="C2325" s="25" t="s">
        <v>6</v>
      </c>
      <c r="D2325" s="248">
        <v>3</v>
      </c>
      <c r="E2325" s="98" t="s">
        <v>456</v>
      </c>
      <c r="F2325" s="15">
        <v>40</v>
      </c>
      <c r="G2325" s="89">
        <v>116</v>
      </c>
      <c r="H2325" s="78"/>
    </row>
    <row r="2326" spans="1:8" x14ac:dyDescent="0.25">
      <c r="A2326" s="271"/>
      <c r="B2326" s="268"/>
      <c r="C2326" s="25" t="s">
        <v>6</v>
      </c>
      <c r="D2326" s="265">
        <v>5</v>
      </c>
      <c r="E2326" s="98" t="s">
        <v>455</v>
      </c>
      <c r="F2326" s="15">
        <v>1</v>
      </c>
      <c r="G2326" s="89">
        <v>116</v>
      </c>
      <c r="H2326" s="78"/>
    </row>
    <row r="2327" spans="1:8" x14ac:dyDescent="0.25">
      <c r="A2327" s="271"/>
      <c r="B2327" s="268"/>
      <c r="C2327" s="25" t="s">
        <v>6</v>
      </c>
      <c r="D2327" s="264"/>
      <c r="E2327" s="98" t="s">
        <v>498</v>
      </c>
      <c r="F2327" s="15">
        <v>2</v>
      </c>
      <c r="G2327" s="89">
        <v>115</v>
      </c>
      <c r="H2327" s="78"/>
    </row>
    <row r="2328" spans="1:8" x14ac:dyDescent="0.25">
      <c r="A2328" s="271"/>
      <c r="B2328" s="268"/>
      <c r="C2328" s="25" t="s">
        <v>6</v>
      </c>
      <c r="D2328" s="265">
        <v>2</v>
      </c>
      <c r="E2328" s="98" t="s">
        <v>377</v>
      </c>
      <c r="F2328" s="15">
        <v>4</v>
      </c>
      <c r="G2328" s="89">
        <v>116</v>
      </c>
      <c r="H2328" s="78" t="s">
        <v>407</v>
      </c>
    </row>
    <row r="2329" spans="1:8" x14ac:dyDescent="0.25">
      <c r="A2329" s="271"/>
      <c r="B2329" s="268"/>
      <c r="C2329" s="25" t="s">
        <v>6</v>
      </c>
      <c r="D2329" s="263"/>
      <c r="E2329" s="98" t="s">
        <v>523</v>
      </c>
      <c r="F2329" s="15"/>
      <c r="G2329" s="89">
        <v>111</v>
      </c>
      <c r="H2329" s="78" t="s">
        <v>374</v>
      </c>
    </row>
    <row r="2330" spans="1:8" x14ac:dyDescent="0.25">
      <c r="A2330" s="271"/>
      <c r="B2330" s="268"/>
      <c r="C2330" s="25" t="s">
        <v>6</v>
      </c>
      <c r="D2330" s="264"/>
      <c r="E2330" s="98" t="s">
        <v>94</v>
      </c>
      <c r="F2330" s="15">
        <v>3</v>
      </c>
      <c r="G2330" s="89" t="s">
        <v>513</v>
      </c>
      <c r="H2330" s="78"/>
    </row>
    <row r="2331" spans="1:8" x14ac:dyDescent="0.25">
      <c r="A2331" s="271"/>
      <c r="B2331" s="268"/>
      <c r="C2331" s="25" t="s">
        <v>6</v>
      </c>
      <c r="D2331" s="265">
        <v>4</v>
      </c>
      <c r="E2331" s="98" t="s">
        <v>151</v>
      </c>
      <c r="F2331" s="15">
        <v>24</v>
      </c>
      <c r="G2331" s="89">
        <v>116</v>
      </c>
      <c r="H2331" s="78"/>
    </row>
    <row r="2332" spans="1:8" x14ac:dyDescent="0.25">
      <c r="A2332" s="271"/>
      <c r="B2332" s="268"/>
      <c r="C2332" s="25" t="s">
        <v>6</v>
      </c>
      <c r="D2332" s="264"/>
      <c r="E2332" s="98" t="s">
        <v>456</v>
      </c>
      <c r="F2332" s="15">
        <v>33</v>
      </c>
      <c r="G2332" s="89">
        <v>116</v>
      </c>
      <c r="H2332" s="78"/>
    </row>
    <row r="2333" spans="1:8" x14ac:dyDescent="0.25">
      <c r="A2333" s="271"/>
      <c r="B2333" s="268"/>
      <c r="C2333" s="25" t="s">
        <v>6</v>
      </c>
      <c r="D2333" s="265">
        <v>5</v>
      </c>
      <c r="E2333" s="98" t="s">
        <v>90</v>
      </c>
      <c r="F2333" s="15">
        <v>38</v>
      </c>
      <c r="G2333" s="89" t="s">
        <v>40</v>
      </c>
      <c r="H2333" s="78"/>
    </row>
    <row r="2334" spans="1:8" x14ac:dyDescent="0.25">
      <c r="A2334" s="271"/>
      <c r="B2334" s="268"/>
      <c r="C2334" s="25" t="s">
        <v>6</v>
      </c>
      <c r="D2334" s="263"/>
      <c r="E2334" s="98" t="s">
        <v>456</v>
      </c>
      <c r="F2334" s="15">
        <v>48</v>
      </c>
      <c r="G2334" s="89" t="s">
        <v>40</v>
      </c>
      <c r="H2334" s="78"/>
    </row>
    <row r="2335" spans="1:8" x14ac:dyDescent="0.25">
      <c r="A2335" s="271"/>
      <c r="B2335" s="268"/>
      <c r="C2335" s="25" t="s">
        <v>6</v>
      </c>
      <c r="D2335" s="264"/>
      <c r="E2335" s="98" t="s">
        <v>280</v>
      </c>
      <c r="F2335" s="15"/>
      <c r="G2335" s="89" t="s">
        <v>40</v>
      </c>
      <c r="H2335" s="78"/>
    </row>
    <row r="2336" spans="1:8" x14ac:dyDescent="0.25">
      <c r="A2336" s="271"/>
      <c r="B2336" s="268"/>
      <c r="C2336" s="25" t="s">
        <v>13</v>
      </c>
      <c r="D2336" s="265">
        <v>6</v>
      </c>
      <c r="E2336" s="98" t="s">
        <v>399</v>
      </c>
      <c r="F2336" s="15">
        <v>8</v>
      </c>
      <c r="G2336" s="89">
        <v>116</v>
      </c>
      <c r="H2336" s="78"/>
    </row>
    <row r="2337" spans="1:8" x14ac:dyDescent="0.25">
      <c r="A2337" s="271"/>
      <c r="B2337" s="268"/>
      <c r="C2337" s="25" t="s">
        <v>13</v>
      </c>
      <c r="D2337" s="264"/>
      <c r="E2337" s="98" t="s">
        <v>90</v>
      </c>
      <c r="F2337" s="15">
        <v>8</v>
      </c>
      <c r="G2337" s="89">
        <v>116</v>
      </c>
      <c r="H2337" s="78"/>
    </row>
    <row r="2338" spans="1:8" x14ac:dyDescent="0.25">
      <c r="A2338" s="271"/>
      <c r="B2338" s="268"/>
      <c r="C2338" s="25" t="s">
        <v>13</v>
      </c>
      <c r="D2338" s="265">
        <v>2</v>
      </c>
      <c r="E2338" s="98" t="s">
        <v>199</v>
      </c>
      <c r="F2338" s="15">
        <v>2</v>
      </c>
      <c r="G2338" s="89">
        <v>116</v>
      </c>
      <c r="H2338" s="78"/>
    </row>
    <row r="2339" spans="1:8" x14ac:dyDescent="0.25">
      <c r="A2339" s="271"/>
      <c r="B2339" s="268"/>
      <c r="C2339" s="25" t="s">
        <v>13</v>
      </c>
      <c r="D2339" s="264"/>
      <c r="E2339" s="98" t="s">
        <v>356</v>
      </c>
      <c r="F2339" s="15"/>
      <c r="G2339" s="89">
        <v>116</v>
      </c>
      <c r="H2339" s="78"/>
    </row>
    <row r="2340" spans="1:8" x14ac:dyDescent="0.25">
      <c r="A2340" s="271"/>
      <c r="B2340" s="268"/>
      <c r="C2340" s="25" t="s">
        <v>13</v>
      </c>
      <c r="D2340" s="265">
        <v>2</v>
      </c>
      <c r="E2340" s="98" t="s">
        <v>90</v>
      </c>
      <c r="F2340" s="15">
        <v>1</v>
      </c>
      <c r="G2340" s="89">
        <v>114</v>
      </c>
      <c r="H2340" s="78"/>
    </row>
    <row r="2341" spans="1:8" x14ac:dyDescent="0.25">
      <c r="A2341" s="271"/>
      <c r="B2341" s="268"/>
      <c r="C2341" s="25" t="s">
        <v>13</v>
      </c>
      <c r="D2341" s="264"/>
      <c r="E2341" s="98" t="s">
        <v>280</v>
      </c>
      <c r="F2341" s="15"/>
      <c r="G2341" s="89">
        <v>114</v>
      </c>
      <c r="H2341" s="78"/>
    </row>
    <row r="2342" spans="1:8" ht="16.5" thickBot="1" x14ac:dyDescent="0.3">
      <c r="A2342" s="271"/>
      <c r="B2342" s="268"/>
      <c r="C2342" s="24"/>
      <c r="D2342" s="245">
        <v>3</v>
      </c>
      <c r="E2342" s="123" t="s">
        <v>229</v>
      </c>
      <c r="F2342" s="219"/>
      <c r="G2342" s="99"/>
      <c r="H2342" s="88"/>
    </row>
    <row r="2343" spans="1:8" x14ac:dyDescent="0.25">
      <c r="A2343" s="352">
        <v>46192</v>
      </c>
      <c r="B2343" s="267" t="s">
        <v>5</v>
      </c>
      <c r="C2343" s="225" t="s">
        <v>6</v>
      </c>
      <c r="D2343" s="232">
        <v>6</v>
      </c>
      <c r="E2343" s="226" t="s">
        <v>200</v>
      </c>
      <c r="F2343" s="227">
        <v>128</v>
      </c>
      <c r="G2343" s="228">
        <v>116</v>
      </c>
      <c r="H2343" s="231" t="s">
        <v>517</v>
      </c>
    </row>
    <row r="2344" spans="1:8" x14ac:dyDescent="0.25">
      <c r="A2344" s="353"/>
      <c r="B2344" s="268"/>
      <c r="C2344" s="218" t="s">
        <v>6</v>
      </c>
      <c r="D2344" s="233">
        <v>4</v>
      </c>
      <c r="E2344" s="222" t="s">
        <v>260</v>
      </c>
      <c r="F2344" s="223">
        <v>120</v>
      </c>
      <c r="G2344" s="224">
        <v>116</v>
      </c>
      <c r="H2344" s="229"/>
    </row>
    <row r="2345" spans="1:8" x14ac:dyDescent="0.25">
      <c r="A2345" s="353"/>
      <c r="B2345" s="268"/>
      <c r="C2345" s="218" t="s">
        <v>6</v>
      </c>
      <c r="D2345" s="233">
        <v>4</v>
      </c>
      <c r="E2345" s="222" t="s">
        <v>26</v>
      </c>
      <c r="F2345" s="223">
        <v>36</v>
      </c>
      <c r="G2345" s="89" t="s">
        <v>40</v>
      </c>
      <c r="H2345" s="78" t="s">
        <v>509</v>
      </c>
    </row>
    <row r="2346" spans="1:8" x14ac:dyDescent="0.25">
      <c r="A2346" s="353"/>
      <c r="B2346" s="268"/>
      <c r="C2346" s="218" t="s">
        <v>6</v>
      </c>
      <c r="D2346" s="362">
        <v>5</v>
      </c>
      <c r="E2346" s="222" t="s">
        <v>511</v>
      </c>
      <c r="F2346" s="223">
        <v>8</v>
      </c>
      <c r="G2346" s="224">
        <v>111</v>
      </c>
      <c r="H2346" s="229"/>
    </row>
    <row r="2347" spans="1:8" x14ac:dyDescent="0.25">
      <c r="A2347" s="353"/>
      <c r="B2347" s="268"/>
      <c r="C2347" s="218" t="s">
        <v>6</v>
      </c>
      <c r="D2347" s="364"/>
      <c r="E2347" s="222" t="s">
        <v>511</v>
      </c>
      <c r="F2347" s="221">
        <v>8</v>
      </c>
      <c r="G2347" s="224">
        <v>111</v>
      </c>
      <c r="H2347" s="229"/>
    </row>
    <row r="2348" spans="1:8" x14ac:dyDescent="0.25">
      <c r="A2348" s="353"/>
      <c r="B2348" s="268"/>
      <c r="C2348" s="218" t="s">
        <v>6</v>
      </c>
      <c r="D2348" s="362">
        <v>5</v>
      </c>
      <c r="E2348" s="222" t="s">
        <v>200</v>
      </c>
      <c r="F2348" s="223">
        <v>12</v>
      </c>
      <c r="G2348" s="224">
        <v>115</v>
      </c>
      <c r="H2348" s="229"/>
    </row>
    <row r="2349" spans="1:8" x14ac:dyDescent="0.25">
      <c r="A2349" s="353"/>
      <c r="B2349" s="268"/>
      <c r="C2349" s="218" t="s">
        <v>6</v>
      </c>
      <c r="D2349" s="363"/>
      <c r="E2349" s="222" t="s">
        <v>69</v>
      </c>
      <c r="F2349" s="223">
        <v>12</v>
      </c>
      <c r="G2349" s="224">
        <v>115</v>
      </c>
      <c r="H2349" s="229"/>
    </row>
    <row r="2350" spans="1:8" x14ac:dyDescent="0.25">
      <c r="A2350" s="353"/>
      <c r="B2350" s="268"/>
      <c r="C2350" s="218" t="s">
        <v>6</v>
      </c>
      <c r="D2350" s="364"/>
      <c r="E2350" s="222" t="s">
        <v>94</v>
      </c>
      <c r="F2350" s="223">
        <v>1</v>
      </c>
      <c r="G2350" s="224">
        <v>115</v>
      </c>
      <c r="H2350" s="229"/>
    </row>
    <row r="2351" spans="1:8" ht="31.15" customHeight="1" x14ac:dyDescent="0.25">
      <c r="A2351" s="353"/>
      <c r="B2351" s="268"/>
      <c r="C2351" s="218" t="s">
        <v>6</v>
      </c>
      <c r="D2351" s="233">
        <v>9</v>
      </c>
      <c r="E2351" s="222" t="s">
        <v>514</v>
      </c>
      <c r="F2351" s="223">
        <v>400</v>
      </c>
      <c r="G2351" s="224">
        <v>116</v>
      </c>
      <c r="H2351" s="78" t="s">
        <v>508</v>
      </c>
    </row>
    <row r="2352" spans="1:8" x14ac:dyDescent="0.25">
      <c r="A2352" s="353"/>
      <c r="B2352" s="268"/>
      <c r="C2352" s="218" t="s">
        <v>6</v>
      </c>
      <c r="D2352" s="233">
        <v>4</v>
      </c>
      <c r="E2352" s="222" t="s">
        <v>510</v>
      </c>
      <c r="F2352" s="223">
        <v>8</v>
      </c>
      <c r="G2352" s="224">
        <v>116</v>
      </c>
      <c r="H2352" s="229"/>
    </row>
    <row r="2353" spans="1:8" x14ac:dyDescent="0.25">
      <c r="A2353" s="353"/>
      <c r="B2353" s="268"/>
      <c r="C2353" s="218" t="s">
        <v>6</v>
      </c>
      <c r="D2353" s="233">
        <v>4</v>
      </c>
      <c r="E2353" s="222" t="s">
        <v>260</v>
      </c>
      <c r="F2353" s="223">
        <v>110</v>
      </c>
      <c r="G2353" s="224">
        <v>116</v>
      </c>
      <c r="H2353" s="229"/>
    </row>
    <row r="2354" spans="1:8" x14ac:dyDescent="0.25">
      <c r="A2354" s="353"/>
      <c r="B2354" s="268"/>
      <c r="C2354" s="218" t="s">
        <v>6</v>
      </c>
      <c r="D2354" s="362">
        <v>4</v>
      </c>
      <c r="E2354" s="222" t="s">
        <v>200</v>
      </c>
      <c r="F2354" s="223">
        <v>10</v>
      </c>
      <c r="G2354" s="89" t="s">
        <v>40</v>
      </c>
      <c r="H2354" s="78" t="s">
        <v>526</v>
      </c>
    </row>
    <row r="2355" spans="1:8" x14ac:dyDescent="0.25">
      <c r="A2355" s="353"/>
      <c r="B2355" s="268"/>
      <c r="C2355" s="218" t="s">
        <v>6</v>
      </c>
      <c r="D2355" s="364"/>
      <c r="E2355" s="222" t="s">
        <v>26</v>
      </c>
      <c r="F2355" s="223">
        <v>10</v>
      </c>
      <c r="G2355" s="89" t="s">
        <v>40</v>
      </c>
      <c r="H2355" s="78" t="s">
        <v>509</v>
      </c>
    </row>
    <row r="2356" spans="1:8" x14ac:dyDescent="0.25">
      <c r="A2356" s="353"/>
      <c r="B2356" s="268"/>
      <c r="C2356" s="218" t="s">
        <v>6</v>
      </c>
      <c r="D2356" s="233">
        <v>2</v>
      </c>
      <c r="E2356" s="222" t="s">
        <v>523</v>
      </c>
      <c r="F2356" s="221"/>
      <c r="G2356" s="222"/>
      <c r="H2356" s="230" t="s">
        <v>515</v>
      </c>
    </row>
    <row r="2357" spans="1:8" x14ac:dyDescent="0.25">
      <c r="A2357" s="353"/>
      <c r="B2357" s="268"/>
      <c r="C2357" s="218" t="s">
        <v>6</v>
      </c>
      <c r="D2357" s="233">
        <v>4</v>
      </c>
      <c r="E2357" s="222" t="s">
        <v>518</v>
      </c>
      <c r="F2357" s="223">
        <v>12</v>
      </c>
      <c r="G2357" s="89" t="s">
        <v>40</v>
      </c>
      <c r="H2357" s="78" t="s">
        <v>509</v>
      </c>
    </row>
    <row r="2358" spans="1:8" x14ac:dyDescent="0.25">
      <c r="A2358" s="353"/>
      <c r="B2358" s="268"/>
      <c r="C2358" s="218" t="s">
        <v>6</v>
      </c>
      <c r="D2358" s="233">
        <v>3</v>
      </c>
      <c r="E2358" s="222" t="s">
        <v>516</v>
      </c>
      <c r="F2358" s="223">
        <v>34</v>
      </c>
      <c r="G2358" s="224">
        <v>111</v>
      </c>
      <c r="H2358" s="229"/>
    </row>
    <row r="2359" spans="1:8" ht="16.5" thickBot="1" x14ac:dyDescent="0.3">
      <c r="A2359" s="353"/>
      <c r="B2359" s="268"/>
      <c r="C2359" s="234" t="s">
        <v>6</v>
      </c>
      <c r="D2359" s="244">
        <v>3</v>
      </c>
      <c r="E2359" s="235" t="s">
        <v>229</v>
      </c>
      <c r="F2359" s="236"/>
      <c r="G2359" s="235"/>
      <c r="H2359" s="237"/>
    </row>
    <row r="2360" spans="1:8" x14ac:dyDescent="0.25">
      <c r="A2360" s="356">
        <v>46193</v>
      </c>
      <c r="B2360" s="359" t="s">
        <v>5</v>
      </c>
      <c r="C2360" s="239" t="s">
        <v>6</v>
      </c>
      <c r="D2360" s="232">
        <v>1</v>
      </c>
      <c r="E2360" s="226" t="s">
        <v>260</v>
      </c>
      <c r="F2360" s="238">
        <v>8</v>
      </c>
      <c r="G2360" s="242">
        <v>116</v>
      </c>
      <c r="H2360" s="231" t="s">
        <v>517</v>
      </c>
    </row>
    <row r="2361" spans="1:8" x14ac:dyDescent="0.25">
      <c r="A2361" s="357"/>
      <c r="B2361" s="360"/>
      <c r="C2361" s="240" t="s">
        <v>6</v>
      </c>
      <c r="D2361" s="233">
        <v>2</v>
      </c>
      <c r="E2361" s="222" t="s">
        <v>26</v>
      </c>
      <c r="F2361" s="240" t="s">
        <v>519</v>
      </c>
      <c r="G2361" s="89" t="s">
        <v>40</v>
      </c>
      <c r="H2361" s="78" t="s">
        <v>509</v>
      </c>
    </row>
    <row r="2362" spans="1:8" x14ac:dyDescent="0.25">
      <c r="A2362" s="357"/>
      <c r="B2362" s="360"/>
      <c r="C2362" s="221" t="s">
        <v>6</v>
      </c>
      <c r="D2362" s="362">
        <v>2</v>
      </c>
      <c r="E2362" s="222" t="s">
        <v>511</v>
      </c>
      <c r="F2362" s="221">
        <v>8</v>
      </c>
      <c r="G2362" s="14">
        <v>101</v>
      </c>
      <c r="H2362" s="229"/>
    </row>
    <row r="2363" spans="1:8" x14ac:dyDescent="0.25">
      <c r="A2363" s="357"/>
      <c r="B2363" s="360"/>
      <c r="C2363" s="221" t="s">
        <v>6</v>
      </c>
      <c r="D2363" s="364"/>
      <c r="E2363" s="222" t="s">
        <v>520</v>
      </c>
      <c r="F2363" s="221">
        <v>8</v>
      </c>
      <c r="G2363" s="14">
        <v>101</v>
      </c>
      <c r="H2363" s="229"/>
    </row>
    <row r="2364" spans="1:8" x14ac:dyDescent="0.25">
      <c r="A2364" s="357"/>
      <c r="B2364" s="360"/>
      <c r="C2364" s="221" t="s">
        <v>6</v>
      </c>
      <c r="D2364" s="362">
        <v>2</v>
      </c>
      <c r="E2364" s="222" t="s">
        <v>455</v>
      </c>
      <c r="F2364" s="221">
        <v>1</v>
      </c>
      <c r="G2364" s="14">
        <v>116</v>
      </c>
      <c r="H2364" s="229"/>
    </row>
    <row r="2365" spans="1:8" x14ac:dyDescent="0.25">
      <c r="A2365" s="357"/>
      <c r="B2365" s="360"/>
      <c r="C2365" s="221" t="s">
        <v>6</v>
      </c>
      <c r="D2365" s="364"/>
      <c r="E2365" s="222" t="s">
        <v>388</v>
      </c>
      <c r="F2365" s="221">
        <v>1</v>
      </c>
      <c r="G2365" s="14">
        <v>116</v>
      </c>
      <c r="H2365" s="229"/>
    </row>
    <row r="2366" spans="1:8" x14ac:dyDescent="0.25">
      <c r="A2366" s="357"/>
      <c r="B2366" s="360"/>
      <c r="C2366" s="221" t="s">
        <v>6</v>
      </c>
      <c r="D2366" s="265">
        <v>2</v>
      </c>
      <c r="E2366" s="98" t="s">
        <v>384</v>
      </c>
      <c r="F2366" s="15"/>
      <c r="G2366" s="89">
        <v>116</v>
      </c>
      <c r="H2366" s="78"/>
    </row>
    <row r="2367" spans="1:8" x14ac:dyDescent="0.25">
      <c r="A2367" s="357"/>
      <c r="B2367" s="360"/>
      <c r="C2367" s="221" t="s">
        <v>6</v>
      </c>
      <c r="D2367" s="264"/>
      <c r="E2367" s="98" t="s">
        <v>521</v>
      </c>
      <c r="F2367" s="15">
        <v>1</v>
      </c>
      <c r="G2367" s="89">
        <v>116</v>
      </c>
      <c r="H2367" s="78"/>
    </row>
    <row r="2368" spans="1:8" x14ac:dyDescent="0.25">
      <c r="A2368" s="357"/>
      <c r="B2368" s="360"/>
      <c r="C2368" s="221" t="s">
        <v>6</v>
      </c>
      <c r="D2368" s="248">
        <v>1</v>
      </c>
      <c r="E2368" s="98" t="s">
        <v>514</v>
      </c>
      <c r="F2368" s="15">
        <v>17</v>
      </c>
      <c r="G2368" s="89">
        <v>113</v>
      </c>
      <c r="H2368" s="78"/>
    </row>
    <row r="2369" spans="1:8" x14ac:dyDescent="0.25">
      <c r="A2369" s="357"/>
      <c r="B2369" s="360"/>
      <c r="C2369" s="221" t="s">
        <v>6</v>
      </c>
      <c r="D2369" s="248">
        <v>3</v>
      </c>
      <c r="E2369" s="98" t="s">
        <v>90</v>
      </c>
      <c r="F2369" s="15">
        <v>74</v>
      </c>
      <c r="G2369" s="89">
        <v>113</v>
      </c>
      <c r="H2369" s="78"/>
    </row>
    <row r="2370" spans="1:8" ht="31.5" x14ac:dyDescent="0.25">
      <c r="A2370" s="357"/>
      <c r="B2370" s="360"/>
      <c r="C2370" s="221" t="s">
        <v>6</v>
      </c>
      <c r="D2370" s="248">
        <v>7</v>
      </c>
      <c r="E2370" s="98" t="s">
        <v>514</v>
      </c>
      <c r="F2370" s="15">
        <v>460</v>
      </c>
      <c r="G2370" s="89" t="s">
        <v>522</v>
      </c>
      <c r="H2370" s="78" t="s">
        <v>508</v>
      </c>
    </row>
    <row r="2371" spans="1:8" x14ac:dyDescent="0.25">
      <c r="A2371" s="357"/>
      <c r="B2371" s="360"/>
      <c r="C2371" s="221" t="s">
        <v>6</v>
      </c>
      <c r="D2371" s="248">
        <v>2</v>
      </c>
      <c r="E2371" s="98" t="s">
        <v>516</v>
      </c>
      <c r="F2371" s="15">
        <v>30</v>
      </c>
      <c r="G2371" s="89">
        <v>116</v>
      </c>
      <c r="H2371" s="78"/>
    </row>
    <row r="2372" spans="1:8" x14ac:dyDescent="0.25">
      <c r="A2372" s="357"/>
      <c r="B2372" s="360"/>
      <c r="C2372" s="221" t="s">
        <v>6</v>
      </c>
      <c r="D2372" s="248">
        <v>3</v>
      </c>
      <c r="E2372" s="98" t="s">
        <v>523</v>
      </c>
      <c r="F2372" s="15">
        <v>1</v>
      </c>
      <c r="G2372" s="89">
        <v>113</v>
      </c>
      <c r="H2372" s="78" t="s">
        <v>524</v>
      </c>
    </row>
    <row r="2373" spans="1:8" x14ac:dyDescent="0.25">
      <c r="A2373" s="357"/>
      <c r="B2373" s="360"/>
      <c r="C2373" s="221" t="s">
        <v>6</v>
      </c>
      <c r="D2373" s="248">
        <v>5</v>
      </c>
      <c r="E2373" s="98" t="s">
        <v>272</v>
      </c>
      <c r="F2373" s="15">
        <v>110</v>
      </c>
      <c r="G2373" s="89">
        <v>116</v>
      </c>
      <c r="H2373" s="78"/>
    </row>
    <row r="2374" spans="1:8" x14ac:dyDescent="0.25">
      <c r="A2374" s="357"/>
      <c r="B2374" s="360"/>
      <c r="C2374" s="221" t="s">
        <v>6</v>
      </c>
      <c r="D2374" s="248">
        <v>1</v>
      </c>
      <c r="E2374" s="98" t="s">
        <v>85</v>
      </c>
      <c r="F2374" s="15">
        <v>1</v>
      </c>
      <c r="G2374" s="89">
        <v>111</v>
      </c>
      <c r="H2374" s="78"/>
    </row>
    <row r="2375" spans="1:8" x14ac:dyDescent="0.25">
      <c r="A2375" s="357"/>
      <c r="B2375" s="360"/>
      <c r="C2375" s="221" t="s">
        <v>6</v>
      </c>
      <c r="D2375" s="265">
        <v>4</v>
      </c>
      <c r="E2375" s="98" t="s">
        <v>58</v>
      </c>
      <c r="F2375" s="15">
        <v>1</v>
      </c>
      <c r="G2375" s="89">
        <v>101</v>
      </c>
      <c r="H2375" s="78"/>
    </row>
    <row r="2376" spans="1:8" x14ac:dyDescent="0.25">
      <c r="A2376" s="357"/>
      <c r="B2376" s="360"/>
      <c r="C2376" s="221" t="s">
        <v>6</v>
      </c>
      <c r="D2376" s="264"/>
      <c r="E2376" s="98" t="s">
        <v>516</v>
      </c>
      <c r="F2376" s="15">
        <v>29</v>
      </c>
      <c r="G2376" s="89">
        <v>101</v>
      </c>
      <c r="H2376" s="78"/>
    </row>
    <row r="2377" spans="1:8" x14ac:dyDescent="0.25">
      <c r="A2377" s="357"/>
      <c r="B2377" s="360"/>
      <c r="C2377" s="221" t="s">
        <v>6</v>
      </c>
      <c r="D2377" s="248">
        <v>2</v>
      </c>
      <c r="E2377" s="98" t="s">
        <v>58</v>
      </c>
      <c r="F2377" s="15">
        <v>5</v>
      </c>
      <c r="G2377" s="89">
        <v>114</v>
      </c>
      <c r="H2377" s="78"/>
    </row>
    <row r="2378" spans="1:8" x14ac:dyDescent="0.25">
      <c r="A2378" s="357"/>
      <c r="B2378" s="360"/>
      <c r="C2378" s="221" t="s">
        <v>6</v>
      </c>
      <c r="D2378" s="248">
        <v>3</v>
      </c>
      <c r="E2378" s="98" t="s">
        <v>112</v>
      </c>
      <c r="F2378" s="15">
        <v>10</v>
      </c>
      <c r="G2378" s="89">
        <v>114</v>
      </c>
      <c r="H2378" s="78"/>
    </row>
    <row r="2379" spans="1:8" x14ac:dyDescent="0.25">
      <c r="A2379" s="357"/>
      <c r="B2379" s="360"/>
      <c r="C2379" s="221" t="s">
        <v>13</v>
      </c>
      <c r="D2379" s="248">
        <v>4</v>
      </c>
      <c r="E2379" s="98" t="s">
        <v>317</v>
      </c>
      <c r="F2379" s="15">
        <v>24</v>
      </c>
      <c r="G2379" s="89" t="s">
        <v>40</v>
      </c>
      <c r="H2379" s="78" t="s">
        <v>509</v>
      </c>
    </row>
    <row r="2380" spans="1:8" x14ac:dyDescent="0.25">
      <c r="A2380" s="357"/>
      <c r="B2380" s="360"/>
      <c r="C2380" s="221" t="s">
        <v>13</v>
      </c>
      <c r="D2380" s="248"/>
      <c r="E2380" s="98" t="s">
        <v>90</v>
      </c>
      <c r="F2380" s="15">
        <v>25</v>
      </c>
      <c r="G2380" s="89">
        <v>116</v>
      </c>
      <c r="H2380" s="78"/>
    </row>
    <row r="2381" spans="1:8" x14ac:dyDescent="0.25">
      <c r="A2381" s="357"/>
      <c r="B2381" s="360"/>
      <c r="C2381" s="221" t="s">
        <v>13</v>
      </c>
      <c r="D2381" s="248">
        <v>2</v>
      </c>
      <c r="E2381" s="98" t="s">
        <v>456</v>
      </c>
      <c r="F2381" s="15">
        <v>40</v>
      </c>
      <c r="G2381" s="89">
        <v>116</v>
      </c>
      <c r="H2381" s="78"/>
    </row>
    <row r="2382" spans="1:8" x14ac:dyDescent="0.25">
      <c r="A2382" s="357"/>
      <c r="B2382" s="360"/>
      <c r="C2382" s="221" t="s">
        <v>13</v>
      </c>
      <c r="D2382" s="248">
        <v>3</v>
      </c>
      <c r="E2382" s="98" t="s">
        <v>284</v>
      </c>
      <c r="F2382" s="15">
        <v>10</v>
      </c>
      <c r="G2382" s="89">
        <v>116</v>
      </c>
      <c r="H2382" s="78"/>
    </row>
    <row r="2383" spans="1:8" x14ac:dyDescent="0.25">
      <c r="A2383" s="357"/>
      <c r="B2383" s="360"/>
      <c r="C2383" s="221" t="s">
        <v>13</v>
      </c>
      <c r="D2383" s="265">
        <v>2</v>
      </c>
      <c r="E2383" s="98" t="s">
        <v>399</v>
      </c>
      <c r="F2383" s="15">
        <v>19</v>
      </c>
      <c r="G2383" s="89">
        <v>116</v>
      </c>
      <c r="H2383" s="78"/>
    </row>
    <row r="2384" spans="1:8" x14ac:dyDescent="0.25">
      <c r="A2384" s="357"/>
      <c r="B2384" s="360"/>
      <c r="C2384" s="221" t="s">
        <v>13</v>
      </c>
      <c r="D2384" s="264"/>
      <c r="E2384" s="98" t="s">
        <v>356</v>
      </c>
      <c r="F2384" s="15">
        <v>4</v>
      </c>
      <c r="G2384" s="89">
        <v>116</v>
      </c>
      <c r="H2384" s="78"/>
    </row>
    <row r="2385" spans="1:8" x14ac:dyDescent="0.25">
      <c r="A2385" s="357"/>
      <c r="B2385" s="360"/>
      <c r="C2385" s="221"/>
      <c r="D2385" s="248">
        <v>3</v>
      </c>
      <c r="E2385" s="98" t="s">
        <v>229</v>
      </c>
      <c r="F2385" s="15"/>
      <c r="G2385" s="89"/>
      <c r="H2385" s="78"/>
    </row>
    <row r="2386" spans="1:8" ht="32.25" thickBot="1" x14ac:dyDescent="0.3">
      <c r="A2386" s="358"/>
      <c r="B2386" s="361"/>
      <c r="C2386" s="51" t="s">
        <v>6</v>
      </c>
      <c r="D2386" s="245">
        <v>4</v>
      </c>
      <c r="E2386" s="123" t="s">
        <v>525</v>
      </c>
      <c r="F2386" s="243"/>
      <c r="G2386" s="99"/>
      <c r="H2386" s="88" t="s">
        <v>527</v>
      </c>
    </row>
    <row r="2387" spans="1:8" ht="16.5" thickBot="1" x14ac:dyDescent="0.3">
      <c r="A2387" s="352">
        <v>46194</v>
      </c>
      <c r="B2387" s="354" t="s">
        <v>539</v>
      </c>
      <c r="C2387" s="51" t="s">
        <v>6</v>
      </c>
      <c r="D2387" s="248">
        <v>4</v>
      </c>
      <c r="E2387" s="98" t="s">
        <v>326</v>
      </c>
      <c r="F2387" s="15">
        <v>105</v>
      </c>
      <c r="G2387" s="89" t="s">
        <v>532</v>
      </c>
      <c r="H2387" s="4" t="s">
        <v>534</v>
      </c>
    </row>
    <row r="2388" spans="1:8" ht="16.5" thickBot="1" x14ac:dyDescent="0.3">
      <c r="A2388" s="353"/>
      <c r="B2388" s="355"/>
      <c r="C2388" s="51" t="s">
        <v>6</v>
      </c>
      <c r="D2388" s="248">
        <v>4</v>
      </c>
      <c r="E2388" s="98" t="s">
        <v>260</v>
      </c>
      <c r="F2388" s="15">
        <v>85</v>
      </c>
      <c r="G2388" s="89" t="s">
        <v>40</v>
      </c>
      <c r="H2388" s="4" t="s">
        <v>534</v>
      </c>
    </row>
    <row r="2389" spans="1:8" ht="16.5" thickBot="1" x14ac:dyDescent="0.3">
      <c r="A2389" s="353"/>
      <c r="B2389" s="355"/>
      <c r="C2389" s="51" t="s">
        <v>6</v>
      </c>
      <c r="D2389" s="248">
        <v>4</v>
      </c>
      <c r="E2389" s="98" t="s">
        <v>272</v>
      </c>
      <c r="F2389" s="15">
        <v>70</v>
      </c>
      <c r="G2389" s="89">
        <v>116</v>
      </c>
      <c r="H2389" s="4"/>
    </row>
    <row r="2390" spans="1:8" ht="16.5" thickBot="1" x14ac:dyDescent="0.3">
      <c r="A2390" s="353"/>
      <c r="B2390" s="355"/>
      <c r="C2390" s="51" t="s">
        <v>6</v>
      </c>
      <c r="D2390" s="248">
        <v>2</v>
      </c>
      <c r="E2390" s="98" t="s">
        <v>516</v>
      </c>
      <c r="F2390" s="15">
        <v>100</v>
      </c>
      <c r="G2390" s="89">
        <v>116</v>
      </c>
      <c r="H2390" s="4"/>
    </row>
    <row r="2391" spans="1:8" ht="32.25" thickBot="1" x14ac:dyDescent="0.3">
      <c r="A2391" s="353"/>
      <c r="B2391" s="355"/>
      <c r="C2391" s="51" t="s">
        <v>6</v>
      </c>
      <c r="D2391" s="248">
        <v>3</v>
      </c>
      <c r="E2391" s="98" t="s">
        <v>514</v>
      </c>
      <c r="F2391" s="15">
        <v>230</v>
      </c>
      <c r="G2391" s="89">
        <v>114.113</v>
      </c>
      <c r="H2391" s="4" t="s">
        <v>508</v>
      </c>
    </row>
    <row r="2392" spans="1:8" ht="16.5" thickBot="1" x14ac:dyDescent="0.3">
      <c r="A2392" s="353"/>
      <c r="B2392" s="355"/>
      <c r="C2392" s="51" t="s">
        <v>6</v>
      </c>
      <c r="D2392" s="248">
        <v>3</v>
      </c>
      <c r="E2392" s="98" t="s">
        <v>518</v>
      </c>
      <c r="F2392" s="15">
        <v>45</v>
      </c>
      <c r="G2392" s="89" t="s">
        <v>535</v>
      </c>
      <c r="H2392" s="4" t="s">
        <v>533</v>
      </c>
    </row>
    <row r="2393" spans="1:8" ht="16.5" thickBot="1" x14ac:dyDescent="0.3">
      <c r="A2393" s="353"/>
      <c r="B2393" s="355"/>
      <c r="C2393" s="51" t="s">
        <v>6</v>
      </c>
      <c r="D2393" s="248">
        <v>5</v>
      </c>
      <c r="E2393" s="98" t="s">
        <v>200</v>
      </c>
      <c r="F2393" s="15">
        <v>110</v>
      </c>
      <c r="G2393" s="89">
        <v>116</v>
      </c>
      <c r="H2393" s="4"/>
    </row>
    <row r="2394" spans="1:8" ht="16.5" thickBot="1" x14ac:dyDescent="0.3">
      <c r="A2394" s="353"/>
      <c r="B2394" s="355"/>
      <c r="C2394" s="51" t="s">
        <v>6</v>
      </c>
      <c r="D2394" s="248">
        <v>5</v>
      </c>
      <c r="E2394" s="98" t="s">
        <v>476</v>
      </c>
      <c r="F2394" s="15">
        <v>17</v>
      </c>
      <c r="G2394" s="89">
        <v>116</v>
      </c>
      <c r="H2394" s="4"/>
    </row>
    <row r="2395" spans="1:8" ht="16.5" thickBot="1" x14ac:dyDescent="0.3">
      <c r="A2395" s="353"/>
      <c r="B2395" s="355"/>
      <c r="C2395" s="51" t="s">
        <v>6</v>
      </c>
      <c r="D2395" s="248">
        <v>2</v>
      </c>
      <c r="E2395" s="98" t="s">
        <v>58</v>
      </c>
      <c r="F2395" s="15">
        <v>3</v>
      </c>
      <c r="G2395" s="89">
        <v>111</v>
      </c>
      <c r="H2395" s="4"/>
    </row>
    <row r="2396" spans="1:8" ht="16.5" thickBot="1" x14ac:dyDescent="0.3">
      <c r="A2396" s="353"/>
      <c r="B2396" s="355"/>
      <c r="C2396" s="51" t="s">
        <v>6</v>
      </c>
      <c r="D2396" s="248">
        <v>2</v>
      </c>
      <c r="E2396" s="98" t="s">
        <v>108</v>
      </c>
      <c r="F2396" s="15">
        <v>12</v>
      </c>
      <c r="G2396" s="89">
        <v>116</v>
      </c>
      <c r="H2396" s="4"/>
    </row>
    <row r="2397" spans="1:8" ht="16.5" thickBot="1" x14ac:dyDescent="0.3">
      <c r="A2397" s="353"/>
      <c r="B2397" s="355"/>
      <c r="C2397" s="51" t="s">
        <v>6</v>
      </c>
      <c r="D2397" s="248">
        <v>1</v>
      </c>
      <c r="E2397" s="98" t="s">
        <v>523</v>
      </c>
      <c r="F2397" s="15">
        <v>1</v>
      </c>
      <c r="G2397" s="89">
        <v>113</v>
      </c>
      <c r="H2397" s="4" t="s">
        <v>524</v>
      </c>
    </row>
    <row r="2398" spans="1:8" ht="16.5" thickBot="1" x14ac:dyDescent="0.3">
      <c r="A2398" s="353"/>
      <c r="B2398" s="355"/>
      <c r="C2398" s="51" t="s">
        <v>6</v>
      </c>
      <c r="D2398" s="248">
        <v>1</v>
      </c>
      <c r="E2398" s="98" t="s">
        <v>523</v>
      </c>
      <c r="F2398" s="15">
        <v>2</v>
      </c>
      <c r="G2398" s="89">
        <v>117</v>
      </c>
      <c r="H2398" s="4" t="s">
        <v>528</v>
      </c>
    </row>
    <row r="2399" spans="1:8" ht="16.5" thickBot="1" x14ac:dyDescent="0.3">
      <c r="A2399" s="353"/>
      <c r="B2399" s="355"/>
      <c r="C2399" s="51" t="s">
        <v>6</v>
      </c>
      <c r="D2399" s="248">
        <v>1</v>
      </c>
      <c r="E2399" s="98" t="s">
        <v>523</v>
      </c>
      <c r="F2399" s="15">
        <v>2</v>
      </c>
      <c r="G2399" s="89">
        <v>117</v>
      </c>
      <c r="H2399" s="4" t="s">
        <v>529</v>
      </c>
    </row>
    <row r="2400" spans="1:8" ht="16.5" thickBot="1" x14ac:dyDescent="0.3">
      <c r="A2400" s="353"/>
      <c r="B2400" s="355"/>
      <c r="C2400" s="51" t="s">
        <v>6</v>
      </c>
      <c r="D2400" s="248">
        <v>3</v>
      </c>
      <c r="E2400" s="98" t="s">
        <v>200</v>
      </c>
      <c r="F2400" s="15">
        <v>25</v>
      </c>
      <c r="G2400" s="89">
        <v>116</v>
      </c>
      <c r="H2400" s="4"/>
    </row>
    <row r="2401" spans="1:8" ht="16.5" thickBot="1" x14ac:dyDescent="0.3">
      <c r="A2401" s="353"/>
      <c r="B2401" s="355"/>
      <c r="C2401" s="51" t="s">
        <v>6</v>
      </c>
      <c r="D2401" s="248">
        <v>3</v>
      </c>
      <c r="E2401" s="98" t="s">
        <v>408</v>
      </c>
      <c r="F2401" s="15">
        <v>25</v>
      </c>
      <c r="G2401" s="89">
        <v>116</v>
      </c>
      <c r="H2401" s="4"/>
    </row>
    <row r="2402" spans="1:8" ht="16.5" thickBot="1" x14ac:dyDescent="0.3">
      <c r="A2402" s="353"/>
      <c r="B2402" s="355"/>
      <c r="C2402" s="51" t="s">
        <v>6</v>
      </c>
      <c r="D2402" s="248">
        <v>1</v>
      </c>
      <c r="E2402" s="98" t="s">
        <v>94</v>
      </c>
      <c r="F2402" s="15">
        <v>1</v>
      </c>
      <c r="G2402" s="89">
        <v>111</v>
      </c>
      <c r="H2402" s="4">
        <v>3500</v>
      </c>
    </row>
    <row r="2403" spans="1:8" ht="16.5" thickBot="1" x14ac:dyDescent="0.3">
      <c r="A2403" s="353"/>
      <c r="B2403" s="355"/>
      <c r="C2403" s="51" t="s">
        <v>6</v>
      </c>
      <c r="D2403" s="248">
        <v>4</v>
      </c>
      <c r="E2403" s="98" t="s">
        <v>530</v>
      </c>
      <c r="F2403" s="15">
        <v>50</v>
      </c>
      <c r="G2403" s="89">
        <v>104.105</v>
      </c>
      <c r="H2403" s="4"/>
    </row>
    <row r="2404" spans="1:8" ht="16.5" thickBot="1" x14ac:dyDescent="0.3">
      <c r="A2404" s="353"/>
      <c r="B2404" s="355"/>
      <c r="C2404" s="51" t="s">
        <v>6</v>
      </c>
      <c r="D2404" s="248">
        <v>2</v>
      </c>
      <c r="E2404" s="98" t="s">
        <v>514</v>
      </c>
      <c r="F2404" s="15">
        <v>45</v>
      </c>
      <c r="G2404" s="89">
        <v>114</v>
      </c>
      <c r="H2404" s="4"/>
    </row>
    <row r="2405" spans="1:8" ht="16.5" thickBot="1" x14ac:dyDescent="0.3">
      <c r="A2405" s="353"/>
      <c r="B2405" s="355"/>
      <c r="C2405" s="51" t="s">
        <v>6</v>
      </c>
      <c r="D2405" s="248">
        <v>3</v>
      </c>
      <c r="E2405" s="98" t="s">
        <v>229</v>
      </c>
      <c r="F2405" s="15"/>
      <c r="G2405" s="89"/>
      <c r="H2405" s="4"/>
    </row>
    <row r="2406" spans="1:8" ht="47.25" x14ac:dyDescent="0.25">
      <c r="A2406" s="353"/>
      <c r="B2406" s="355"/>
      <c r="C2406" s="24" t="s">
        <v>6</v>
      </c>
      <c r="D2406" s="245">
        <v>7</v>
      </c>
      <c r="E2406" s="123" t="s">
        <v>525</v>
      </c>
      <c r="F2406" s="253"/>
      <c r="G2406" s="99"/>
      <c r="H2406" s="251" t="s">
        <v>531</v>
      </c>
    </row>
    <row r="2407" spans="1:8" x14ac:dyDescent="0.25">
      <c r="A2407" s="365">
        <v>46195</v>
      </c>
      <c r="B2407" s="360" t="s">
        <v>539</v>
      </c>
      <c r="C2407" s="25" t="s">
        <v>6</v>
      </c>
      <c r="D2407" s="241">
        <v>3</v>
      </c>
      <c r="E2407" s="98" t="s">
        <v>514</v>
      </c>
      <c r="F2407" s="5">
        <v>10</v>
      </c>
      <c r="G2407" s="5" t="s">
        <v>538</v>
      </c>
      <c r="H2407" s="5"/>
    </row>
    <row r="2408" spans="1:8" x14ac:dyDescent="0.25">
      <c r="A2408" s="366"/>
      <c r="B2408" s="360"/>
      <c r="C2408" s="25" t="s">
        <v>6</v>
      </c>
      <c r="D2408" s="241">
        <v>1</v>
      </c>
      <c r="E2408" s="5" t="s">
        <v>280</v>
      </c>
      <c r="F2408" s="5"/>
      <c r="G2408" s="5"/>
      <c r="H2408" s="5"/>
    </row>
    <row r="2409" spans="1:8" x14ac:dyDescent="0.25">
      <c r="A2409" s="366"/>
      <c r="B2409" s="360"/>
      <c r="C2409" s="25" t="s">
        <v>6</v>
      </c>
      <c r="D2409" s="241">
        <v>2</v>
      </c>
      <c r="E2409" s="5" t="s">
        <v>514</v>
      </c>
      <c r="F2409" s="5">
        <v>44</v>
      </c>
      <c r="G2409" s="5">
        <v>116</v>
      </c>
      <c r="H2409" s="5"/>
    </row>
    <row r="2410" spans="1:8" x14ac:dyDescent="0.25">
      <c r="A2410" s="366"/>
      <c r="B2410" s="360"/>
      <c r="C2410" s="25" t="s">
        <v>6</v>
      </c>
      <c r="D2410" s="241">
        <v>3</v>
      </c>
      <c r="E2410" s="5" t="s">
        <v>536</v>
      </c>
      <c r="F2410" s="5">
        <v>20</v>
      </c>
      <c r="G2410" s="5">
        <v>116</v>
      </c>
      <c r="H2410" s="5">
        <v>9500</v>
      </c>
    </row>
    <row r="2411" spans="1:8" x14ac:dyDescent="0.25">
      <c r="A2411" s="366"/>
      <c r="B2411" s="360"/>
      <c r="C2411" s="25" t="s">
        <v>6</v>
      </c>
      <c r="D2411" s="241">
        <v>7</v>
      </c>
      <c r="E2411" s="98" t="s">
        <v>272</v>
      </c>
      <c r="F2411" s="5">
        <v>250</v>
      </c>
      <c r="G2411" s="5">
        <v>116</v>
      </c>
      <c r="H2411" s="5"/>
    </row>
    <row r="2412" spans="1:8" x14ac:dyDescent="0.25">
      <c r="A2412" s="366"/>
      <c r="B2412" s="360"/>
      <c r="C2412" s="25" t="s">
        <v>6</v>
      </c>
      <c r="D2412" s="241">
        <v>3</v>
      </c>
      <c r="E2412" s="98" t="s">
        <v>200</v>
      </c>
      <c r="F2412" s="5">
        <v>56</v>
      </c>
      <c r="G2412" s="5">
        <v>116</v>
      </c>
      <c r="H2412" s="5"/>
    </row>
    <row r="2413" spans="1:8" x14ac:dyDescent="0.25">
      <c r="A2413" s="366"/>
      <c r="B2413" s="360"/>
      <c r="C2413" s="25" t="s">
        <v>6</v>
      </c>
      <c r="D2413" s="241">
        <v>3</v>
      </c>
      <c r="E2413" s="98" t="s">
        <v>408</v>
      </c>
      <c r="F2413" s="5">
        <v>56</v>
      </c>
      <c r="G2413" s="5">
        <v>116</v>
      </c>
      <c r="H2413" s="5"/>
    </row>
    <row r="2414" spans="1:8" x14ac:dyDescent="0.25">
      <c r="A2414" s="366"/>
      <c r="B2414" s="360"/>
      <c r="C2414" s="25" t="s">
        <v>6</v>
      </c>
      <c r="D2414" s="241">
        <v>6</v>
      </c>
      <c r="E2414" s="98" t="s">
        <v>200</v>
      </c>
      <c r="F2414" s="5">
        <v>102</v>
      </c>
      <c r="G2414" s="5">
        <v>116</v>
      </c>
      <c r="H2414" s="5"/>
    </row>
    <row r="2415" spans="1:8" x14ac:dyDescent="0.25">
      <c r="A2415" s="366"/>
      <c r="B2415" s="360"/>
      <c r="C2415" s="25" t="s">
        <v>6</v>
      </c>
      <c r="D2415" s="248">
        <v>3</v>
      </c>
      <c r="E2415" s="98" t="s">
        <v>537</v>
      </c>
      <c r="F2415" s="15">
        <v>102</v>
      </c>
      <c r="G2415" s="89">
        <v>116</v>
      </c>
      <c r="H2415" s="4"/>
    </row>
    <row r="2416" spans="1:8" x14ac:dyDescent="0.25">
      <c r="A2416" s="366"/>
      <c r="B2416" s="360"/>
      <c r="C2416" s="25" t="s">
        <v>6</v>
      </c>
      <c r="D2416" s="248">
        <v>1</v>
      </c>
      <c r="E2416" s="98" t="s">
        <v>420</v>
      </c>
      <c r="F2416" s="15">
        <v>4</v>
      </c>
      <c r="G2416" s="89">
        <v>116</v>
      </c>
      <c r="H2416" s="4"/>
    </row>
    <row r="2417" spans="1:8" x14ac:dyDescent="0.25">
      <c r="A2417" s="366"/>
      <c r="B2417" s="360"/>
      <c r="C2417" s="25" t="s">
        <v>13</v>
      </c>
      <c r="D2417" s="248">
        <v>4</v>
      </c>
      <c r="E2417" s="98" t="s">
        <v>151</v>
      </c>
      <c r="F2417" s="89">
        <v>44</v>
      </c>
      <c r="G2417" s="5">
        <v>116</v>
      </c>
      <c r="H2417" s="5"/>
    </row>
    <row r="2418" spans="1:8" x14ac:dyDescent="0.25">
      <c r="A2418" s="366"/>
      <c r="B2418" s="360"/>
      <c r="C2418" s="25" t="s">
        <v>13</v>
      </c>
      <c r="D2418" s="248">
        <v>1</v>
      </c>
      <c r="E2418" s="98" t="s">
        <v>456</v>
      </c>
      <c r="F2418" s="15">
        <v>84</v>
      </c>
      <c r="G2418" s="89">
        <v>116</v>
      </c>
      <c r="H2418" s="4"/>
    </row>
    <row r="2419" spans="1:8" x14ac:dyDescent="0.25">
      <c r="A2419" s="366"/>
      <c r="B2419" s="360"/>
      <c r="C2419" s="25" t="s">
        <v>13</v>
      </c>
      <c r="D2419" s="248">
        <v>3</v>
      </c>
      <c r="E2419" s="98" t="s">
        <v>90</v>
      </c>
      <c r="F2419" s="15">
        <v>16</v>
      </c>
      <c r="G2419" s="89">
        <v>116</v>
      </c>
      <c r="H2419" s="4"/>
    </row>
    <row r="2420" spans="1:8" x14ac:dyDescent="0.25">
      <c r="A2420" s="366"/>
      <c r="B2420" s="360"/>
      <c r="C2420" s="25" t="s">
        <v>13</v>
      </c>
      <c r="D2420" s="248">
        <v>2</v>
      </c>
      <c r="E2420" s="98" t="s">
        <v>456</v>
      </c>
      <c r="F2420" s="15">
        <v>32</v>
      </c>
      <c r="G2420" s="89">
        <v>116</v>
      </c>
      <c r="H2420" s="4"/>
    </row>
    <row r="2421" spans="1:8" x14ac:dyDescent="0.25">
      <c r="A2421" s="366"/>
      <c r="B2421" s="360"/>
      <c r="C2421" s="25" t="s">
        <v>13</v>
      </c>
      <c r="D2421" s="248">
        <v>2</v>
      </c>
      <c r="E2421" s="98" t="s">
        <v>200</v>
      </c>
      <c r="F2421" s="15">
        <v>25</v>
      </c>
      <c r="G2421" s="89">
        <v>112</v>
      </c>
      <c r="H2421" s="4"/>
    </row>
    <row r="2422" spans="1:8" x14ac:dyDescent="0.25">
      <c r="A2422" s="366"/>
      <c r="B2422" s="360"/>
      <c r="C2422" s="25" t="s">
        <v>13</v>
      </c>
      <c r="D2422" s="248">
        <v>3</v>
      </c>
      <c r="E2422" s="98" t="s">
        <v>272</v>
      </c>
      <c r="F2422" s="15">
        <v>57</v>
      </c>
      <c r="G2422" s="89">
        <v>112</v>
      </c>
      <c r="H2422" s="4"/>
    </row>
    <row r="2423" spans="1:8" x14ac:dyDescent="0.25">
      <c r="A2423" s="366"/>
      <c r="B2423" s="360"/>
      <c r="C2423" s="25" t="s">
        <v>13</v>
      </c>
      <c r="D2423" s="248">
        <v>4</v>
      </c>
      <c r="E2423" s="98" t="s">
        <v>207</v>
      </c>
      <c r="F2423" s="15"/>
      <c r="G2423" s="89">
        <v>116</v>
      </c>
      <c r="H2423" s="4"/>
    </row>
    <row r="2424" spans="1:8" ht="47.25" x14ac:dyDescent="0.25">
      <c r="A2424" s="367"/>
      <c r="B2424" s="360"/>
      <c r="C2424" s="25" t="s">
        <v>13</v>
      </c>
      <c r="D2424" s="248">
        <v>8</v>
      </c>
      <c r="E2424" s="98" t="s">
        <v>525</v>
      </c>
      <c r="F2424" s="15"/>
      <c r="G2424" s="89" t="s">
        <v>538</v>
      </c>
      <c r="H2424" s="4" t="s">
        <v>531</v>
      </c>
    </row>
  </sheetData>
  <autoFilter ref="A1:H2365" xr:uid="{00000000-0001-0000-0000-000000000000}"/>
  <mergeCells count="1046">
    <mergeCell ref="B2407:B2424"/>
    <mergeCell ref="A2407:A2424"/>
    <mergeCell ref="A2387:A2406"/>
    <mergeCell ref="B2387:B2406"/>
    <mergeCell ref="A2360:A2386"/>
    <mergeCell ref="B2360:B2386"/>
    <mergeCell ref="D2362:D2363"/>
    <mergeCell ref="D2364:D2365"/>
    <mergeCell ref="D2366:D2367"/>
    <mergeCell ref="D2375:D2376"/>
    <mergeCell ref="D2383:D2384"/>
    <mergeCell ref="D2348:D2350"/>
    <mergeCell ref="D2354:D2355"/>
    <mergeCell ref="B2318:B2342"/>
    <mergeCell ref="A2318:A2342"/>
    <mergeCell ref="D2319:D2321"/>
    <mergeCell ref="D2326:D2327"/>
    <mergeCell ref="D2328:D2330"/>
    <mergeCell ref="D2331:D2332"/>
    <mergeCell ref="D2333:D2335"/>
    <mergeCell ref="D2336:D2337"/>
    <mergeCell ref="D2338:D2339"/>
    <mergeCell ref="D2340:D2341"/>
    <mergeCell ref="B2343:B2359"/>
    <mergeCell ref="A2343:A2359"/>
    <mergeCell ref="D2346:D2347"/>
    <mergeCell ref="D2121:D2125"/>
    <mergeCell ref="D2126:D2130"/>
    <mergeCell ref="D2132:D2136"/>
    <mergeCell ref="B2121:B2137"/>
    <mergeCell ref="A2121:A2137"/>
    <mergeCell ref="B2138:B2147"/>
    <mergeCell ref="A2138:A2147"/>
    <mergeCell ref="D2139:D2140"/>
    <mergeCell ref="D2141:D2142"/>
    <mergeCell ref="D2146:D2147"/>
    <mergeCell ref="D2181:D2187"/>
    <mergeCell ref="D2188:D2190"/>
    <mergeCell ref="D2191:D2193"/>
    <mergeCell ref="B2181:B2194"/>
    <mergeCell ref="A2181:A2194"/>
    <mergeCell ref="A2195:A2211"/>
    <mergeCell ref="B2195:B2211"/>
    <mergeCell ref="A2148:A2164"/>
    <mergeCell ref="D2148:D2149"/>
    <mergeCell ref="D2150:D2152"/>
    <mergeCell ref="D2154:D2159"/>
    <mergeCell ref="D2160:D2163"/>
    <mergeCell ref="A2165:A2180"/>
    <mergeCell ref="B2165:B2180"/>
    <mergeCell ref="D2165:D2166"/>
    <mergeCell ref="D2167:D2168"/>
    <mergeCell ref="D2169:D2170"/>
    <mergeCell ref="D2172:D2174"/>
    <mergeCell ref="D2175:D2176"/>
    <mergeCell ref="D2177:D2178"/>
    <mergeCell ref="D2103:D2104"/>
    <mergeCell ref="B2103:B2106"/>
    <mergeCell ref="A2103:A2106"/>
    <mergeCell ref="B2107:B2120"/>
    <mergeCell ref="A2107:A2120"/>
    <mergeCell ref="D2108:D2109"/>
    <mergeCell ref="D2111:D2114"/>
    <mergeCell ref="D1988:D1989"/>
    <mergeCell ref="A1974:A1990"/>
    <mergeCell ref="B1974:B1990"/>
    <mergeCell ref="B1991:B2010"/>
    <mergeCell ref="A1991:A2010"/>
    <mergeCell ref="D1994:D1995"/>
    <mergeCell ref="D1996:D1998"/>
    <mergeCell ref="D1999:D2002"/>
    <mergeCell ref="D2003:D2004"/>
    <mergeCell ref="D2006:D2008"/>
    <mergeCell ref="D1974:D1983"/>
    <mergeCell ref="D1984:D1987"/>
    <mergeCell ref="A2042:A2052"/>
    <mergeCell ref="B2042:B2052"/>
    <mergeCell ref="D2042:D2048"/>
    <mergeCell ref="D2049:D2051"/>
    <mergeCell ref="B2053:B2070"/>
    <mergeCell ref="D2097:D2100"/>
    <mergeCell ref="B2082:B2102"/>
    <mergeCell ref="A2082:A2102"/>
    <mergeCell ref="D2063:D2065"/>
    <mergeCell ref="D2082:D2083"/>
    <mergeCell ref="D2084:D2086"/>
    <mergeCell ref="D2087:D2089"/>
    <mergeCell ref="D2090:D2093"/>
    <mergeCell ref="D1944:D1945"/>
    <mergeCell ref="B1931:B1946"/>
    <mergeCell ref="A1931:A1946"/>
    <mergeCell ref="B1915:B1930"/>
    <mergeCell ref="A1915:A1930"/>
    <mergeCell ref="D1915:D1918"/>
    <mergeCell ref="D1919:D1922"/>
    <mergeCell ref="D1923:D1926"/>
    <mergeCell ref="D1927:D1930"/>
    <mergeCell ref="D1932:D1933"/>
    <mergeCell ref="D1934:D1935"/>
    <mergeCell ref="D1936:D1937"/>
    <mergeCell ref="D1939:D1941"/>
    <mergeCell ref="A1947:A1960"/>
    <mergeCell ref="B1947:B1960"/>
    <mergeCell ref="B1961:B1973"/>
    <mergeCell ref="A1961:A1973"/>
    <mergeCell ref="D1961:D1963"/>
    <mergeCell ref="D1964:D1965"/>
    <mergeCell ref="D1967:D1969"/>
    <mergeCell ref="D1970:D1971"/>
    <mergeCell ref="D1947:D1948"/>
    <mergeCell ref="D1953:D1955"/>
    <mergeCell ref="D1956:D1957"/>
    <mergeCell ref="D1958:D1959"/>
    <mergeCell ref="D1682:D1683"/>
    <mergeCell ref="D1684:D1685"/>
    <mergeCell ref="D1686:D1687"/>
    <mergeCell ref="D1689:D1690"/>
    <mergeCell ref="D1693:D1694"/>
    <mergeCell ref="B1799:B1814"/>
    <mergeCell ref="A1799:A1814"/>
    <mergeCell ref="B1815:B1832"/>
    <mergeCell ref="A1815:A1832"/>
    <mergeCell ref="D1817:D1818"/>
    <mergeCell ref="D1819:D1820"/>
    <mergeCell ref="D1821:D1822"/>
    <mergeCell ref="D1827:D1830"/>
    <mergeCell ref="D1799:D1800"/>
    <mergeCell ref="D1801:D1804"/>
    <mergeCell ref="D1806:D1811"/>
    <mergeCell ref="D1812:D1814"/>
    <mergeCell ref="D1515:D1516"/>
    <mergeCell ref="D1517:D1518"/>
    <mergeCell ref="D1519:D1522"/>
    <mergeCell ref="D1523:D1524"/>
    <mergeCell ref="D1525:D1528"/>
    <mergeCell ref="B1638:B1655"/>
    <mergeCell ref="A1638:A1655"/>
    <mergeCell ref="D1638:D1645"/>
    <mergeCell ref="D1646:D1653"/>
    <mergeCell ref="D1656:D1659"/>
    <mergeCell ref="D1662:D1663"/>
    <mergeCell ref="B1656:B1672"/>
    <mergeCell ref="A1656:A1672"/>
    <mergeCell ref="D1667:D1668"/>
    <mergeCell ref="D1673:D1674"/>
    <mergeCell ref="D1678:D1679"/>
    <mergeCell ref="B1673:B1680"/>
    <mergeCell ref="A1673:A1680"/>
    <mergeCell ref="D1611:D1612"/>
    <mergeCell ref="D1613:D1615"/>
    <mergeCell ref="D1616:D1618"/>
    <mergeCell ref="D1619:D1624"/>
    <mergeCell ref="B1608:B1625"/>
    <mergeCell ref="A1608:A1625"/>
    <mergeCell ref="D1627:D1629"/>
    <mergeCell ref="D1630:D1631"/>
    <mergeCell ref="A1593:A1607"/>
    <mergeCell ref="D1602:D1603"/>
    <mergeCell ref="D1598:D1601"/>
    <mergeCell ref="D1594:D1595"/>
    <mergeCell ref="D1580:D1585"/>
    <mergeCell ref="D1586:D1589"/>
    <mergeCell ref="D1433:D1436"/>
    <mergeCell ref="D1437:D1439"/>
    <mergeCell ref="B1431:B1440"/>
    <mergeCell ref="A1431:A1440"/>
    <mergeCell ref="B1565:B1579"/>
    <mergeCell ref="A1565:A1579"/>
    <mergeCell ref="D1547:D1548"/>
    <mergeCell ref="D1549:D1550"/>
    <mergeCell ref="D1551:D1552"/>
    <mergeCell ref="D1553:D1554"/>
    <mergeCell ref="D1471:D1472"/>
    <mergeCell ref="D1476:D1479"/>
    <mergeCell ref="D1480:D1483"/>
    <mergeCell ref="B1467:B1484"/>
    <mergeCell ref="A1467:A1484"/>
    <mergeCell ref="D1473:D1474"/>
    <mergeCell ref="D1492:D1493"/>
    <mergeCell ref="D1494:D1495"/>
    <mergeCell ref="B1497:B1512"/>
    <mergeCell ref="A1497:A1512"/>
    <mergeCell ref="D1497:D1500"/>
    <mergeCell ref="D1501:D1504"/>
    <mergeCell ref="D1505:D1506"/>
    <mergeCell ref="A1513:A1530"/>
    <mergeCell ref="D1531:D1532"/>
    <mergeCell ref="D1533:D1534"/>
    <mergeCell ref="D1535:D1536"/>
    <mergeCell ref="D1537:D1538"/>
    <mergeCell ref="D1541:D1542"/>
    <mergeCell ref="D1543:D1544"/>
    <mergeCell ref="B1531:B1546"/>
    <mergeCell ref="A1531:A1546"/>
    <mergeCell ref="D1403:D1406"/>
    <mergeCell ref="D1407:D1412"/>
    <mergeCell ref="D1413:D1414"/>
    <mergeCell ref="D1416:D1417"/>
    <mergeCell ref="B1403:B1417"/>
    <mergeCell ref="A1403:A1417"/>
    <mergeCell ref="A1418:A1430"/>
    <mergeCell ref="B1418:B1430"/>
    <mergeCell ref="D1418:D1419"/>
    <mergeCell ref="D1420:D1421"/>
    <mergeCell ref="D1423:D1424"/>
    <mergeCell ref="D1425:D1426"/>
    <mergeCell ref="D1427:D1429"/>
    <mergeCell ref="D1431:D1432"/>
    <mergeCell ref="B1212:B1228"/>
    <mergeCell ref="A1212:A1228"/>
    <mergeCell ref="D1212:D1214"/>
    <mergeCell ref="D1217:D1220"/>
    <mergeCell ref="D1221:D1224"/>
    <mergeCell ref="D1225:D1227"/>
    <mergeCell ref="B1229:B1245"/>
    <mergeCell ref="A1229:A1245"/>
    <mergeCell ref="D1229:D1232"/>
    <mergeCell ref="D1233:D1235"/>
    <mergeCell ref="D1236:D1237"/>
    <mergeCell ref="D1238:D1239"/>
    <mergeCell ref="D1240:D1242"/>
    <mergeCell ref="A1330:A1344"/>
    <mergeCell ref="B1312:B1329"/>
    <mergeCell ref="A1312:A1329"/>
    <mergeCell ref="D1312:D1315"/>
    <mergeCell ref="D1316:D1319"/>
    <mergeCell ref="A864:A881"/>
    <mergeCell ref="B864:B881"/>
    <mergeCell ref="D864:D867"/>
    <mergeCell ref="D868:D875"/>
    <mergeCell ref="D876:D879"/>
    <mergeCell ref="D884:D886"/>
    <mergeCell ref="D882:D883"/>
    <mergeCell ref="B882:B893"/>
    <mergeCell ref="A882:A893"/>
    <mergeCell ref="B1123:B1145"/>
    <mergeCell ref="A1123:A1145"/>
    <mergeCell ref="D949:D951"/>
    <mergeCell ref="D952:D953"/>
    <mergeCell ref="D954:D955"/>
    <mergeCell ref="D961:D963"/>
    <mergeCell ref="B949:B963"/>
    <mergeCell ref="A949:A963"/>
    <mergeCell ref="D957:D960"/>
    <mergeCell ref="B964:B984"/>
    <mergeCell ref="A964:A984"/>
    <mergeCell ref="D964:D966"/>
    <mergeCell ref="D967:D969"/>
    <mergeCell ref="D970:D973"/>
    <mergeCell ref="D974:D979"/>
    <mergeCell ref="D982:D983"/>
    <mergeCell ref="D985:D990"/>
    <mergeCell ref="D991:D993"/>
    <mergeCell ref="D1076:D1078"/>
    <mergeCell ref="D1069:D1070"/>
    <mergeCell ref="B1068:B1081"/>
    <mergeCell ref="A1068:A1081"/>
    <mergeCell ref="B1023:B1033"/>
    <mergeCell ref="D627:D629"/>
    <mergeCell ref="B619:B629"/>
    <mergeCell ref="A619:A629"/>
    <mergeCell ref="D607:D609"/>
    <mergeCell ref="D615:D616"/>
    <mergeCell ref="D611:D612"/>
    <mergeCell ref="D613:D614"/>
    <mergeCell ref="D623:D625"/>
    <mergeCell ref="D621:D622"/>
    <mergeCell ref="A630:A645"/>
    <mergeCell ref="B630:B645"/>
    <mergeCell ref="B651:B663"/>
    <mergeCell ref="A664:A680"/>
    <mergeCell ref="B664:B680"/>
    <mergeCell ref="B770:B784"/>
    <mergeCell ref="A770:A784"/>
    <mergeCell ref="D770:D774"/>
    <mergeCell ref="D775:D778"/>
    <mergeCell ref="D779:D781"/>
    <mergeCell ref="D782:D784"/>
    <mergeCell ref="D664:D666"/>
    <mergeCell ref="A681:A700"/>
    <mergeCell ref="B681:B700"/>
    <mergeCell ref="D689:D691"/>
    <mergeCell ref="D692:D694"/>
    <mergeCell ref="D695:D696"/>
    <mergeCell ref="D750:D751"/>
    <mergeCell ref="D742:D744"/>
    <mergeCell ref="D738:D741"/>
    <mergeCell ref="D745:D748"/>
    <mergeCell ref="D752:D753"/>
    <mergeCell ref="A651:A663"/>
    <mergeCell ref="G564:G566"/>
    <mergeCell ref="D551:D552"/>
    <mergeCell ref="D553:D554"/>
    <mergeCell ref="A568:A586"/>
    <mergeCell ref="B568:B586"/>
    <mergeCell ref="D568:D571"/>
    <mergeCell ref="D573:D574"/>
    <mergeCell ref="D575:D580"/>
    <mergeCell ref="D582:D584"/>
    <mergeCell ref="G613:G614"/>
    <mergeCell ref="G611:G612"/>
    <mergeCell ref="G607:G610"/>
    <mergeCell ref="G597:G598"/>
    <mergeCell ref="D597:D598"/>
    <mergeCell ref="B587:B599"/>
    <mergeCell ref="A587:A599"/>
    <mergeCell ref="D600:D602"/>
    <mergeCell ref="D603:D605"/>
    <mergeCell ref="B600:B618"/>
    <mergeCell ref="A600:A618"/>
    <mergeCell ref="D587:D589"/>
    <mergeCell ref="G587:G589"/>
    <mergeCell ref="D590:D592"/>
    <mergeCell ref="G590:G592"/>
    <mergeCell ref="G593:G596"/>
    <mergeCell ref="D593:D596"/>
    <mergeCell ref="A519:A533"/>
    <mergeCell ref="B519:B533"/>
    <mergeCell ref="D519:D520"/>
    <mergeCell ref="D521:D523"/>
    <mergeCell ref="D524:D526"/>
    <mergeCell ref="D527:D528"/>
    <mergeCell ref="A534:A541"/>
    <mergeCell ref="B534:B541"/>
    <mergeCell ref="D534:D535"/>
    <mergeCell ref="D537:D539"/>
    <mergeCell ref="D540:D541"/>
    <mergeCell ref="A557:A567"/>
    <mergeCell ref="B557:B567"/>
    <mergeCell ref="D557:D559"/>
    <mergeCell ref="A542:A556"/>
    <mergeCell ref="B542:B556"/>
    <mergeCell ref="D542:D543"/>
    <mergeCell ref="D544:D545"/>
    <mergeCell ref="D546:D547"/>
    <mergeCell ref="D548:D549"/>
    <mergeCell ref="D560:D562"/>
    <mergeCell ref="D564:D566"/>
    <mergeCell ref="A475:A487"/>
    <mergeCell ref="B475:B487"/>
    <mergeCell ref="D477:D479"/>
    <mergeCell ref="D491:D492"/>
    <mergeCell ref="D493:D496"/>
    <mergeCell ref="D497:D500"/>
    <mergeCell ref="D480:D481"/>
    <mergeCell ref="D482:D483"/>
    <mergeCell ref="D485:D487"/>
    <mergeCell ref="D488:D490"/>
    <mergeCell ref="D501:D504"/>
    <mergeCell ref="D505:D508"/>
    <mergeCell ref="A512:A518"/>
    <mergeCell ref="B512:B518"/>
    <mergeCell ref="D513:D515"/>
    <mergeCell ref="A488:A511"/>
    <mergeCell ref="B488:B511"/>
    <mergeCell ref="D516:D518"/>
    <mergeCell ref="D428:D431"/>
    <mergeCell ref="A433:A442"/>
    <mergeCell ref="B433:B442"/>
    <mergeCell ref="D438:D439"/>
    <mergeCell ref="D440:D442"/>
    <mergeCell ref="A412:A432"/>
    <mergeCell ref="B412:B432"/>
    <mergeCell ref="D413:D415"/>
    <mergeCell ref="D416:D418"/>
    <mergeCell ref="D419:D421"/>
    <mergeCell ref="D422:D425"/>
    <mergeCell ref="D455:D458"/>
    <mergeCell ref="D459:D464"/>
    <mergeCell ref="D465:D467"/>
    <mergeCell ref="A443:A474"/>
    <mergeCell ref="B443:B474"/>
    <mergeCell ref="D443:D446"/>
    <mergeCell ref="D447:D451"/>
    <mergeCell ref="D452:D454"/>
    <mergeCell ref="D468:D469"/>
    <mergeCell ref="D470:D471"/>
    <mergeCell ref="D391:D392"/>
    <mergeCell ref="D393:D397"/>
    <mergeCell ref="D398:D399"/>
    <mergeCell ref="D376:D377"/>
    <mergeCell ref="A379:A382"/>
    <mergeCell ref="B379:B382"/>
    <mergeCell ref="A384:A404"/>
    <mergeCell ref="B384:B404"/>
    <mergeCell ref="D384:D387"/>
    <mergeCell ref="D388:D390"/>
    <mergeCell ref="D400:D401"/>
    <mergeCell ref="D402:D403"/>
    <mergeCell ref="A405:A411"/>
    <mergeCell ref="B405:B411"/>
    <mergeCell ref="D406:D407"/>
    <mergeCell ref="D409:D410"/>
    <mergeCell ref="D426:D427"/>
    <mergeCell ref="D341:D342"/>
    <mergeCell ref="A344:A352"/>
    <mergeCell ref="B344:B352"/>
    <mergeCell ref="D344:D346"/>
    <mergeCell ref="D347:D348"/>
    <mergeCell ref="D349:D351"/>
    <mergeCell ref="A331:A343"/>
    <mergeCell ref="B331:B343"/>
    <mergeCell ref="D331:D332"/>
    <mergeCell ref="D335:D336"/>
    <mergeCell ref="D337:D340"/>
    <mergeCell ref="D365:D367"/>
    <mergeCell ref="D368:D372"/>
    <mergeCell ref="D374:D375"/>
    <mergeCell ref="A353:A378"/>
    <mergeCell ref="B353:B378"/>
    <mergeCell ref="D353:D356"/>
    <mergeCell ref="D357:D360"/>
    <mergeCell ref="D361:D362"/>
    <mergeCell ref="D363:D364"/>
    <mergeCell ref="A292:A293"/>
    <mergeCell ref="B292:B293"/>
    <mergeCell ref="D292:D293"/>
    <mergeCell ref="A295:A300"/>
    <mergeCell ref="B295:B300"/>
    <mergeCell ref="D295:D296"/>
    <mergeCell ref="D298:D300"/>
    <mergeCell ref="D325:D327"/>
    <mergeCell ref="D328:D329"/>
    <mergeCell ref="D312:D315"/>
    <mergeCell ref="D316:D317"/>
    <mergeCell ref="A319:A330"/>
    <mergeCell ref="B319:B330"/>
    <mergeCell ref="D319:D322"/>
    <mergeCell ref="D323:D324"/>
    <mergeCell ref="A301:A318"/>
    <mergeCell ref="B301:B318"/>
    <mergeCell ref="D301:D303"/>
    <mergeCell ref="D304:D306"/>
    <mergeCell ref="D307:D308"/>
    <mergeCell ref="D309:D311"/>
    <mergeCell ref="A239:A243"/>
    <mergeCell ref="B239:B243"/>
    <mergeCell ref="D239:D240"/>
    <mergeCell ref="A244:A253"/>
    <mergeCell ref="B244:B253"/>
    <mergeCell ref="D244:D245"/>
    <mergeCell ref="D247:D248"/>
    <mergeCell ref="D249:D250"/>
    <mergeCell ref="D252:D253"/>
    <mergeCell ref="A254:A265"/>
    <mergeCell ref="B254:B265"/>
    <mergeCell ref="D254:D257"/>
    <mergeCell ref="D261:D262"/>
    <mergeCell ref="A284:A285"/>
    <mergeCell ref="B284:B285"/>
    <mergeCell ref="D284:D285"/>
    <mergeCell ref="A286:A287"/>
    <mergeCell ref="B286:B287"/>
    <mergeCell ref="D286:D287"/>
    <mergeCell ref="D276:D277"/>
    <mergeCell ref="D278:D279"/>
    <mergeCell ref="A281:A283"/>
    <mergeCell ref="B281:B283"/>
    <mergeCell ref="D281:D282"/>
    <mergeCell ref="A266:A280"/>
    <mergeCell ref="B266:B280"/>
    <mergeCell ref="D266:D267"/>
    <mergeCell ref="D268:D269"/>
    <mergeCell ref="D270:D275"/>
    <mergeCell ref="A210:A211"/>
    <mergeCell ref="B210:B211"/>
    <mergeCell ref="D210:D211"/>
    <mergeCell ref="A213:A214"/>
    <mergeCell ref="B213:B214"/>
    <mergeCell ref="D213:D214"/>
    <mergeCell ref="A206:A207"/>
    <mergeCell ref="B206:B207"/>
    <mergeCell ref="D206:D207"/>
    <mergeCell ref="A208:A209"/>
    <mergeCell ref="B208:B209"/>
    <mergeCell ref="D208:D209"/>
    <mergeCell ref="D229:D230"/>
    <mergeCell ref="A232:A238"/>
    <mergeCell ref="B232:B238"/>
    <mergeCell ref="D233:D234"/>
    <mergeCell ref="D235:D236"/>
    <mergeCell ref="A216:A218"/>
    <mergeCell ref="B216:B218"/>
    <mergeCell ref="D216:D218"/>
    <mergeCell ref="A222:A230"/>
    <mergeCell ref="B222:B230"/>
    <mergeCell ref="D222:D225"/>
    <mergeCell ref="D226:D227"/>
    <mergeCell ref="A188:A190"/>
    <mergeCell ref="B188:B190"/>
    <mergeCell ref="D188:D190"/>
    <mergeCell ref="A192:A193"/>
    <mergeCell ref="B192:B193"/>
    <mergeCell ref="D192:D193"/>
    <mergeCell ref="A182:A183"/>
    <mergeCell ref="B182:B183"/>
    <mergeCell ref="D182:D183"/>
    <mergeCell ref="A186:A187"/>
    <mergeCell ref="B186:B187"/>
    <mergeCell ref="D186:D187"/>
    <mergeCell ref="A199:A200"/>
    <mergeCell ref="B199:B200"/>
    <mergeCell ref="D199:D200"/>
    <mergeCell ref="A204:A205"/>
    <mergeCell ref="B204:B205"/>
    <mergeCell ref="D204:D205"/>
    <mergeCell ref="A195:A196"/>
    <mergeCell ref="B195:B196"/>
    <mergeCell ref="D195:D196"/>
    <mergeCell ref="A197:A198"/>
    <mergeCell ref="B197:B198"/>
    <mergeCell ref="D197:D198"/>
    <mergeCell ref="A165:A166"/>
    <mergeCell ref="B165:B166"/>
    <mergeCell ref="D165:D166"/>
    <mergeCell ref="A169:A170"/>
    <mergeCell ref="B169:B170"/>
    <mergeCell ref="D169:D170"/>
    <mergeCell ref="A157:A158"/>
    <mergeCell ref="B157:B158"/>
    <mergeCell ref="D157:D158"/>
    <mergeCell ref="A159:A160"/>
    <mergeCell ref="B159:B160"/>
    <mergeCell ref="D159:D160"/>
    <mergeCell ref="A177:A178"/>
    <mergeCell ref="B177:B178"/>
    <mergeCell ref="D177:D178"/>
    <mergeCell ref="A179:A181"/>
    <mergeCell ref="B179:B181"/>
    <mergeCell ref="D179:D181"/>
    <mergeCell ref="A171:A172"/>
    <mergeCell ref="B171:B172"/>
    <mergeCell ref="D171:D172"/>
    <mergeCell ref="A173:A175"/>
    <mergeCell ref="B173:B175"/>
    <mergeCell ref="D173:D175"/>
    <mergeCell ref="A132:A134"/>
    <mergeCell ref="B132:B134"/>
    <mergeCell ref="D132:D134"/>
    <mergeCell ref="A135:A136"/>
    <mergeCell ref="B135:B136"/>
    <mergeCell ref="D135:D136"/>
    <mergeCell ref="A125:A126"/>
    <mergeCell ref="B125:B126"/>
    <mergeCell ref="D125:D126"/>
    <mergeCell ref="A129:A130"/>
    <mergeCell ref="B129:B130"/>
    <mergeCell ref="D129:D130"/>
    <mergeCell ref="A147:A148"/>
    <mergeCell ref="B147:B148"/>
    <mergeCell ref="D147:D148"/>
    <mergeCell ref="A149:A151"/>
    <mergeCell ref="B149:B151"/>
    <mergeCell ref="D149:D151"/>
    <mergeCell ref="A137:A138"/>
    <mergeCell ref="B137:B138"/>
    <mergeCell ref="D137:D138"/>
    <mergeCell ref="A139:A142"/>
    <mergeCell ref="B139:B142"/>
    <mergeCell ref="D139:D142"/>
    <mergeCell ref="A104:A105"/>
    <mergeCell ref="B104:B105"/>
    <mergeCell ref="D104:D105"/>
    <mergeCell ref="A109:A112"/>
    <mergeCell ref="B109:B112"/>
    <mergeCell ref="D109:D112"/>
    <mergeCell ref="A100:A101"/>
    <mergeCell ref="B100:B101"/>
    <mergeCell ref="D100:D101"/>
    <mergeCell ref="A102:A103"/>
    <mergeCell ref="B102:B103"/>
    <mergeCell ref="D102:D103"/>
    <mergeCell ref="A119:A121"/>
    <mergeCell ref="B119:B121"/>
    <mergeCell ref="D119:D121"/>
    <mergeCell ref="A122:A123"/>
    <mergeCell ref="B122:B123"/>
    <mergeCell ref="D122:D123"/>
    <mergeCell ref="A114:A116"/>
    <mergeCell ref="B114:B116"/>
    <mergeCell ref="D114:D116"/>
    <mergeCell ref="A117:A118"/>
    <mergeCell ref="B117:B118"/>
    <mergeCell ref="D117:D118"/>
    <mergeCell ref="A85:A86"/>
    <mergeCell ref="B85:B86"/>
    <mergeCell ref="D85:D86"/>
    <mergeCell ref="A77:A78"/>
    <mergeCell ref="B77:B78"/>
    <mergeCell ref="D77:D78"/>
    <mergeCell ref="A79:A80"/>
    <mergeCell ref="B79:B80"/>
    <mergeCell ref="D79:D80"/>
    <mergeCell ref="A92:A94"/>
    <mergeCell ref="B92:B94"/>
    <mergeCell ref="D92:D94"/>
    <mergeCell ref="A96:A97"/>
    <mergeCell ref="B96:B97"/>
    <mergeCell ref="D96:D97"/>
    <mergeCell ref="A87:A88"/>
    <mergeCell ref="B87:B88"/>
    <mergeCell ref="D87:D88"/>
    <mergeCell ref="A90:A91"/>
    <mergeCell ref="B90:B91"/>
    <mergeCell ref="D90:D91"/>
    <mergeCell ref="D42:D43"/>
    <mergeCell ref="A45:A46"/>
    <mergeCell ref="B45:B46"/>
    <mergeCell ref="A56:A58"/>
    <mergeCell ref="B56:B58"/>
    <mergeCell ref="D56:D58"/>
    <mergeCell ref="A60:A61"/>
    <mergeCell ref="B60:B61"/>
    <mergeCell ref="D60:D61"/>
    <mergeCell ref="A50:A51"/>
    <mergeCell ref="B50:B51"/>
    <mergeCell ref="D50:D51"/>
    <mergeCell ref="A53:A55"/>
    <mergeCell ref="B53:B55"/>
    <mergeCell ref="D53:D55"/>
    <mergeCell ref="A81:A82"/>
    <mergeCell ref="B81:B82"/>
    <mergeCell ref="D81:D82"/>
    <mergeCell ref="A2:A3"/>
    <mergeCell ref="B2:B3"/>
    <mergeCell ref="D2:D3"/>
    <mergeCell ref="A4:A5"/>
    <mergeCell ref="B4:B5"/>
    <mergeCell ref="D4:D5"/>
    <mergeCell ref="A14:A16"/>
    <mergeCell ref="B14:B16"/>
    <mergeCell ref="D14:D16"/>
    <mergeCell ref="A10:A11"/>
    <mergeCell ref="B10:B11"/>
    <mergeCell ref="D10:D11"/>
    <mergeCell ref="A12:A13"/>
    <mergeCell ref="B12:B13"/>
    <mergeCell ref="D12:D13"/>
    <mergeCell ref="A6:A7"/>
    <mergeCell ref="B6:B7"/>
    <mergeCell ref="D6:D7"/>
    <mergeCell ref="A8:A9"/>
    <mergeCell ref="B8:B9"/>
    <mergeCell ref="D8:D9"/>
    <mergeCell ref="B646:B650"/>
    <mergeCell ref="A646:A650"/>
    <mergeCell ref="G646:G647"/>
    <mergeCell ref="D646:D647"/>
    <mergeCell ref="D649:D650"/>
    <mergeCell ref="D653:D654"/>
    <mergeCell ref="D655:D656"/>
    <mergeCell ref="D657:D658"/>
    <mergeCell ref="A18:A20"/>
    <mergeCell ref="B18:B20"/>
    <mergeCell ref="D18:D20"/>
    <mergeCell ref="A28:A33"/>
    <mergeCell ref="B28:B33"/>
    <mergeCell ref="D28:D33"/>
    <mergeCell ref="A21:A24"/>
    <mergeCell ref="B21:B24"/>
    <mergeCell ref="D21:D24"/>
    <mergeCell ref="A26:A27"/>
    <mergeCell ref="B26:B27"/>
    <mergeCell ref="D26:D27"/>
    <mergeCell ref="D45:D46"/>
    <mergeCell ref="A34:A35"/>
    <mergeCell ref="B34:B35"/>
    <mergeCell ref="D34:D35"/>
    <mergeCell ref="A47:A49"/>
    <mergeCell ref="B47:B49"/>
    <mergeCell ref="D47:D49"/>
    <mergeCell ref="A36:A41"/>
    <mergeCell ref="B36:B41"/>
    <mergeCell ref="D36:D41"/>
    <mergeCell ref="A42:A43"/>
    <mergeCell ref="B42:B43"/>
    <mergeCell ref="H685:H688"/>
    <mergeCell ref="H689:H691"/>
    <mergeCell ref="H692:H694"/>
    <mergeCell ref="H695:H696"/>
    <mergeCell ref="D678:D679"/>
    <mergeCell ref="D681:D684"/>
    <mergeCell ref="G681:G682"/>
    <mergeCell ref="H681:H682"/>
    <mergeCell ref="H683:H684"/>
    <mergeCell ref="G683:G684"/>
    <mergeCell ref="G685:G688"/>
    <mergeCell ref="D669:D671"/>
    <mergeCell ref="D672:D673"/>
    <mergeCell ref="D667:D668"/>
    <mergeCell ref="D685:D688"/>
    <mergeCell ref="D630:D632"/>
    <mergeCell ref="G630:G632"/>
    <mergeCell ref="D638:D640"/>
    <mergeCell ref="D635:D637"/>
    <mergeCell ref="G635:G637"/>
    <mergeCell ref="G649:G650"/>
    <mergeCell ref="D675:D677"/>
    <mergeCell ref="G738:G741"/>
    <mergeCell ref="G742:G744"/>
    <mergeCell ref="G745:G748"/>
    <mergeCell ref="G750:G751"/>
    <mergeCell ref="B738:B754"/>
    <mergeCell ref="A738:A754"/>
    <mergeCell ref="D716:D717"/>
    <mergeCell ref="B701:B717"/>
    <mergeCell ref="A701:A717"/>
    <mergeCell ref="D701:D704"/>
    <mergeCell ref="D705:D707"/>
    <mergeCell ref="D708:D709"/>
    <mergeCell ref="D710:D712"/>
    <mergeCell ref="D713:D714"/>
    <mergeCell ref="G689:G691"/>
    <mergeCell ref="G692:G694"/>
    <mergeCell ref="G695:G696"/>
    <mergeCell ref="A755:A769"/>
    <mergeCell ref="B755:B769"/>
    <mergeCell ref="D755:D756"/>
    <mergeCell ref="D757:D759"/>
    <mergeCell ref="D760:D761"/>
    <mergeCell ref="D762:D763"/>
    <mergeCell ref="D764:D765"/>
    <mergeCell ref="D785:D786"/>
    <mergeCell ref="D787:D791"/>
    <mergeCell ref="D792:D795"/>
    <mergeCell ref="D796:D797"/>
    <mergeCell ref="D798:D800"/>
    <mergeCell ref="D801:D803"/>
    <mergeCell ref="B785:B808"/>
    <mergeCell ref="A785:A808"/>
    <mergeCell ref="A718:A737"/>
    <mergeCell ref="B718:B737"/>
    <mergeCell ref="D837:D840"/>
    <mergeCell ref="D845:D848"/>
    <mergeCell ref="D849:D851"/>
    <mergeCell ref="B837:B851"/>
    <mergeCell ref="A837:A851"/>
    <mergeCell ref="A852:A863"/>
    <mergeCell ref="B852:B863"/>
    <mergeCell ref="B819:B836"/>
    <mergeCell ref="A819:A836"/>
    <mergeCell ref="D821:D825"/>
    <mergeCell ref="D819:D820"/>
    <mergeCell ref="D826:D828"/>
    <mergeCell ref="D831:D832"/>
    <mergeCell ref="D833:D834"/>
    <mergeCell ref="A809:A818"/>
    <mergeCell ref="B809:B818"/>
    <mergeCell ref="D812:D814"/>
    <mergeCell ref="D816:D817"/>
    <mergeCell ref="D809:D811"/>
    <mergeCell ref="B985:B994"/>
    <mergeCell ref="A985:A994"/>
    <mergeCell ref="D1006:D1007"/>
    <mergeCell ref="D1079:D1080"/>
    <mergeCell ref="A1058:A1067"/>
    <mergeCell ref="B1058:B1067"/>
    <mergeCell ref="D1034:D1038"/>
    <mergeCell ref="D1040:D1044"/>
    <mergeCell ref="B1034:B1045"/>
    <mergeCell ref="A1034:A1045"/>
    <mergeCell ref="D1047:D1049"/>
    <mergeCell ref="G884:G890"/>
    <mergeCell ref="D901:D905"/>
    <mergeCell ref="B894:B905"/>
    <mergeCell ref="A894:A905"/>
    <mergeCell ref="D908:D911"/>
    <mergeCell ref="D906:D907"/>
    <mergeCell ref="D918:D919"/>
    <mergeCell ref="B906:B919"/>
    <mergeCell ref="A906:A919"/>
    <mergeCell ref="D894:D897"/>
    <mergeCell ref="D920:D922"/>
    <mergeCell ref="D925:D928"/>
    <mergeCell ref="D923:D924"/>
    <mergeCell ref="B920:B930"/>
    <mergeCell ref="A920:A930"/>
    <mergeCell ref="A931:A948"/>
    <mergeCell ref="B931:B948"/>
    <mergeCell ref="A1023:A1033"/>
    <mergeCell ref="D1111:D1112"/>
    <mergeCell ref="D1113:D1117"/>
    <mergeCell ref="D1119:D1122"/>
    <mergeCell ref="B1111:B1122"/>
    <mergeCell ref="A1111:A1122"/>
    <mergeCell ref="H1059:H1060"/>
    <mergeCell ref="B995:B1009"/>
    <mergeCell ref="A995:A1009"/>
    <mergeCell ref="D995:D997"/>
    <mergeCell ref="D998:D1001"/>
    <mergeCell ref="D1002:D1004"/>
    <mergeCell ref="D1055:D1056"/>
    <mergeCell ref="B1046:B1057"/>
    <mergeCell ref="A1046:A1057"/>
    <mergeCell ref="D1093:D1094"/>
    <mergeCell ref="B1093:B1110"/>
    <mergeCell ref="A1093:A1110"/>
    <mergeCell ref="H1083:H1084"/>
    <mergeCell ref="H1086:H1087"/>
    <mergeCell ref="A1082:A1092"/>
    <mergeCell ref="B1082:B1092"/>
    <mergeCell ref="D1082:D1087"/>
    <mergeCell ref="D1089:D1090"/>
    <mergeCell ref="D1013:D1015"/>
    <mergeCell ref="D1010:D1012"/>
    <mergeCell ref="A1010:A1022"/>
    <mergeCell ref="B1010:B1022"/>
    <mergeCell ref="D1017:D1021"/>
    <mergeCell ref="D1147:D1152"/>
    <mergeCell ref="D1153:D1157"/>
    <mergeCell ref="A1146:A1158"/>
    <mergeCell ref="B1146:B1158"/>
    <mergeCell ref="B1159:B1181"/>
    <mergeCell ref="A1159:A1181"/>
    <mergeCell ref="D1159:D1163"/>
    <mergeCell ref="D1164:D1165"/>
    <mergeCell ref="D1166:D1167"/>
    <mergeCell ref="D1170:D1174"/>
    <mergeCell ref="D1175:D1180"/>
    <mergeCell ref="D1198:D1201"/>
    <mergeCell ref="D1202:D1204"/>
    <mergeCell ref="B1193:B1211"/>
    <mergeCell ref="A1193:A1211"/>
    <mergeCell ref="D1206:D1209"/>
    <mergeCell ref="D1190:D1192"/>
    <mergeCell ref="D1188:D1189"/>
    <mergeCell ref="D1183:D1187"/>
    <mergeCell ref="B1182:B1192"/>
    <mergeCell ref="A1182:A1192"/>
    <mergeCell ref="D1193:D1196"/>
    <mergeCell ref="D1320:D1324"/>
    <mergeCell ref="D1325:D1328"/>
    <mergeCell ref="D1330:D1332"/>
    <mergeCell ref="D1333:D1335"/>
    <mergeCell ref="D1336:D1337"/>
    <mergeCell ref="D1338:D1341"/>
    <mergeCell ref="B1330:B1344"/>
    <mergeCell ref="B1278:B1295"/>
    <mergeCell ref="A1278:A1295"/>
    <mergeCell ref="B1296:B1311"/>
    <mergeCell ref="A1296:A1311"/>
    <mergeCell ref="D1246:D1247"/>
    <mergeCell ref="B1246:B1262"/>
    <mergeCell ref="A1246:A1262"/>
    <mergeCell ref="B1263:B1277"/>
    <mergeCell ref="A1263:A1277"/>
    <mergeCell ref="D1248:D1251"/>
    <mergeCell ref="D1252:D1255"/>
    <mergeCell ref="D1256:D1259"/>
    <mergeCell ref="D1260:D1261"/>
    <mergeCell ref="D1265:D1266"/>
    <mergeCell ref="D1267:D1268"/>
    <mergeCell ref="D1269:D1271"/>
    <mergeCell ref="D1272:D1273"/>
    <mergeCell ref="D1274:D1276"/>
    <mergeCell ref="D1392:D1396"/>
    <mergeCell ref="D1399:D1400"/>
    <mergeCell ref="D1401:D1402"/>
    <mergeCell ref="B1388:B1402"/>
    <mergeCell ref="A1388:A1402"/>
    <mergeCell ref="D1372:D1375"/>
    <mergeCell ref="D1378:D1381"/>
    <mergeCell ref="D1382:D1385"/>
    <mergeCell ref="D1386:D1387"/>
    <mergeCell ref="A1371:A1387"/>
    <mergeCell ref="B1371:B1387"/>
    <mergeCell ref="D1388:D1391"/>
    <mergeCell ref="D1345:D1349"/>
    <mergeCell ref="D1350:D1351"/>
    <mergeCell ref="D1352:D1355"/>
    <mergeCell ref="B1345:B1356"/>
    <mergeCell ref="A1345:A1356"/>
    <mergeCell ref="B1357:B1370"/>
    <mergeCell ref="A1357:A1370"/>
    <mergeCell ref="D1357:D1358"/>
    <mergeCell ref="D1359:D1361"/>
    <mergeCell ref="D1362:D1364"/>
    <mergeCell ref="D1365:D1367"/>
    <mergeCell ref="B1441:B1451"/>
    <mergeCell ref="A1441:A1451"/>
    <mergeCell ref="D1442:D1443"/>
    <mergeCell ref="D1444:D1445"/>
    <mergeCell ref="D1446:D1447"/>
    <mergeCell ref="D1448:D1449"/>
    <mergeCell ref="D1485:D1487"/>
    <mergeCell ref="D1488:D1489"/>
    <mergeCell ref="D1490:D1491"/>
    <mergeCell ref="B1485:B1496"/>
    <mergeCell ref="A1485:A1496"/>
    <mergeCell ref="D1452:D1456"/>
    <mergeCell ref="D1457:D1465"/>
    <mergeCell ref="B1452:B1466"/>
    <mergeCell ref="A1452:A1466"/>
    <mergeCell ref="D1467:D1468"/>
    <mergeCell ref="D1469:D1470"/>
    <mergeCell ref="D1510:D1511"/>
    <mergeCell ref="D1557:D1561"/>
    <mergeCell ref="B1547:B1564"/>
    <mergeCell ref="A1547:A1564"/>
    <mergeCell ref="D1565:D1566"/>
    <mergeCell ref="B1513:B1530"/>
    <mergeCell ref="D1513:D1514"/>
    <mergeCell ref="B1697:B1706"/>
    <mergeCell ref="A1697:A1706"/>
    <mergeCell ref="D1707:D1709"/>
    <mergeCell ref="D1711:D1712"/>
    <mergeCell ref="D1713:D1714"/>
    <mergeCell ref="D1715:D1716"/>
    <mergeCell ref="D1719:D1720"/>
    <mergeCell ref="D1721:D1724"/>
    <mergeCell ref="D1725:D1726"/>
    <mergeCell ref="B1707:B1727"/>
    <mergeCell ref="A1707:A1727"/>
    <mergeCell ref="D1697:D1699"/>
    <mergeCell ref="D1700:D1701"/>
    <mergeCell ref="D1702:D1703"/>
    <mergeCell ref="D1704:D1705"/>
    <mergeCell ref="D1567:D1569"/>
    <mergeCell ref="D1571:D1572"/>
    <mergeCell ref="D1573:D1574"/>
    <mergeCell ref="D1576:D1578"/>
    <mergeCell ref="D1633:D1634"/>
    <mergeCell ref="B1626:B1637"/>
    <mergeCell ref="A1626:A1637"/>
    <mergeCell ref="B1580:B1592"/>
    <mergeCell ref="A1580:A1592"/>
    <mergeCell ref="B1593:B1607"/>
    <mergeCell ref="D1608:D1610"/>
    <mergeCell ref="D1765:D1772"/>
    <mergeCell ref="D1773:D1774"/>
    <mergeCell ref="D1775:D1776"/>
    <mergeCell ref="D1777:D1780"/>
    <mergeCell ref="D1781:D1784"/>
    <mergeCell ref="B1765:B1784"/>
    <mergeCell ref="A1765:A1784"/>
    <mergeCell ref="B1785:B1798"/>
    <mergeCell ref="A1785:A1798"/>
    <mergeCell ref="D1786:D1787"/>
    <mergeCell ref="D1789:D1790"/>
    <mergeCell ref="D1791:D1793"/>
    <mergeCell ref="D1795:D1796"/>
    <mergeCell ref="B1728:B1741"/>
    <mergeCell ref="A1728:A1741"/>
    <mergeCell ref="D1734:D1735"/>
    <mergeCell ref="D1736:D1741"/>
    <mergeCell ref="D1732:D1733"/>
    <mergeCell ref="D1730:D1731"/>
    <mergeCell ref="D1728:D1729"/>
    <mergeCell ref="B1742:B1764"/>
    <mergeCell ref="A1742:A1764"/>
    <mergeCell ref="D1745:D1746"/>
    <mergeCell ref="D1747:D1748"/>
    <mergeCell ref="D1749:D1751"/>
    <mergeCell ref="D1752:D1754"/>
    <mergeCell ref="D1755:D1756"/>
    <mergeCell ref="D1757:D1758"/>
    <mergeCell ref="D1759:D1761"/>
    <mergeCell ref="B1681:B1696"/>
    <mergeCell ref="A1681:A1696"/>
    <mergeCell ref="B1901:B1905"/>
    <mergeCell ref="A1901:A1905"/>
    <mergeCell ref="B1906:B1914"/>
    <mergeCell ref="A1906:A1914"/>
    <mergeCell ref="D1876:D1878"/>
    <mergeCell ref="D1879:D1885"/>
    <mergeCell ref="D1886:D1888"/>
    <mergeCell ref="B1876:B1888"/>
    <mergeCell ref="A1876:A1888"/>
    <mergeCell ref="B1889:B1900"/>
    <mergeCell ref="A1889:A1900"/>
    <mergeCell ref="D1833:D1836"/>
    <mergeCell ref="D1837:D1843"/>
    <mergeCell ref="D1844:D1850"/>
    <mergeCell ref="A1833:A1851"/>
    <mergeCell ref="B1833:B1851"/>
    <mergeCell ref="B1852:B1875"/>
    <mergeCell ref="A1852:A1875"/>
    <mergeCell ref="D1852:D1853"/>
    <mergeCell ref="D1854:D1855"/>
    <mergeCell ref="D1857:D1860"/>
    <mergeCell ref="D1863:D1866"/>
    <mergeCell ref="D1867:D1869"/>
    <mergeCell ref="D1870:D1872"/>
    <mergeCell ref="D1873:D1874"/>
    <mergeCell ref="A2053:A2070"/>
    <mergeCell ref="B2011:B2024"/>
    <mergeCell ref="A2011:A2024"/>
    <mergeCell ref="D2011:D2014"/>
    <mergeCell ref="D2015:D2018"/>
    <mergeCell ref="D2019:D2023"/>
    <mergeCell ref="B2025:B2041"/>
    <mergeCell ref="A2025:A2041"/>
    <mergeCell ref="D2027:D2032"/>
    <mergeCell ref="D2033:D2034"/>
    <mergeCell ref="D2035:D2036"/>
    <mergeCell ref="D2038:D2039"/>
    <mergeCell ref="D2071:D2074"/>
    <mergeCell ref="D2075:D2080"/>
    <mergeCell ref="B2071:B2081"/>
    <mergeCell ref="A2071:A2081"/>
    <mergeCell ref="D2053:D2054"/>
    <mergeCell ref="D2055:D2056"/>
    <mergeCell ref="D2058:D2062"/>
    <mergeCell ref="D2239:D2240"/>
    <mergeCell ref="B2224:B2241"/>
    <mergeCell ref="A2224:A2241"/>
    <mergeCell ref="D2212:D2218"/>
    <mergeCell ref="D2219:D2222"/>
    <mergeCell ref="B2212:B2223"/>
    <mergeCell ref="A2212:A2223"/>
    <mergeCell ref="D2226:D2228"/>
    <mergeCell ref="D2230:D2232"/>
    <mergeCell ref="D2236:D2237"/>
    <mergeCell ref="D2197:D2199"/>
    <mergeCell ref="D2200:D2201"/>
    <mergeCell ref="D2202:D2203"/>
    <mergeCell ref="D2204:D2205"/>
    <mergeCell ref="B2148:B2164"/>
    <mergeCell ref="D2288:D2291"/>
    <mergeCell ref="D2292:D2296"/>
    <mergeCell ref="D2298:D2299"/>
    <mergeCell ref="D2300:D2302"/>
    <mergeCell ref="D2303:D2304"/>
    <mergeCell ref="D2308:D2312"/>
    <mergeCell ref="D2313:D2316"/>
    <mergeCell ref="A2288:A2317"/>
    <mergeCell ref="B2288:B2317"/>
    <mergeCell ref="B2242:B2248"/>
    <mergeCell ref="A2242:A2248"/>
    <mergeCell ref="B2249:B2265"/>
    <mergeCell ref="A2249:A2265"/>
    <mergeCell ref="D2242:D2244"/>
    <mergeCell ref="D2246:D2248"/>
    <mergeCell ref="D2253:D2254"/>
    <mergeCell ref="D2257:D2258"/>
    <mergeCell ref="D2259:D2260"/>
    <mergeCell ref="D2263:D2264"/>
    <mergeCell ref="A2266:A2287"/>
    <mergeCell ref="B2266:B2287"/>
    <mergeCell ref="D2266:D2269"/>
    <mergeCell ref="D2270:D2271"/>
    <mergeCell ref="D2272:D2273"/>
    <mergeCell ref="D2274:D2276"/>
    <mergeCell ref="D2277:D2278"/>
    <mergeCell ref="D2279:D2280"/>
    <mergeCell ref="D2284:D2285"/>
  </mergeCells>
  <phoneticPr fontId="5" type="noConversion"/>
  <conditionalFormatting sqref="E550">
    <cfRule type="duplicateValues" dxfId="11" priority="8"/>
  </conditionalFormatting>
  <conditionalFormatting sqref="E617">
    <cfRule type="duplicateValues" dxfId="10" priority="1"/>
  </conditionalFormatting>
  <conditionalFormatting sqref="E644">
    <cfRule type="duplicateValues" dxfId="9" priority="2"/>
  </conditionalFormatting>
  <conditionalFormatting sqref="E861">
    <cfRule type="duplicateValues" dxfId="8" priority="3"/>
  </conditionalFormatting>
  <conditionalFormatting sqref="E899 E901:E902">
    <cfRule type="duplicateValues" dxfId="7" priority="9"/>
  </conditionalFormatting>
  <conditionalFormatting sqref="E900">
    <cfRule type="duplicateValues" dxfId="6" priority="4"/>
  </conditionalFormatting>
  <conditionalFormatting sqref="E927">
    <cfRule type="duplicateValues" dxfId="5" priority="5"/>
  </conditionalFormatting>
  <conditionalFormatting sqref="E1450">
    <cfRule type="duplicateValues" dxfId="4" priority="6"/>
  </conditionalFormatting>
  <conditionalFormatting sqref="E1592">
    <cfRule type="duplicateValues" dxfId="3" priority="7"/>
  </conditionalFormatting>
  <pageMargins left="0.25" right="0.25" top="0.75" bottom="0.75" header="0.3" footer="0.3"/>
  <pageSetup paperSize="9" scale="5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A288D35F-4CCF-4AC8-95EC-BC3003114467}">
          <x14:formula1>
            <xm:f>'Общий Объём работ'!$B:$B</xm:f>
          </x14:formula1>
          <xm:sqref>E1:E309 E2031:E2033 E874:E1163 E311:E872 E1166:E1859 E1896:E2029 E1869:E1894 E1861:E1867 E2035:E2091 E2094:E2283 E2285:E1048576 A2407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1E30-E518-41AC-96E8-7E2F2C603B71}">
  <sheetPr>
    <pageSetUpPr fitToPage="1"/>
  </sheetPr>
  <dimension ref="A1:K178"/>
  <sheetViews>
    <sheetView view="pageBreakPreview" zoomScale="85" zoomScaleNormal="85" zoomScaleSheetLayoutView="85" workbookViewId="0">
      <pane ySplit="2" topLeftCell="A159" activePane="bottomLeft" state="frozen"/>
      <selection pane="bottomLeft" activeCell="B179" sqref="B179"/>
    </sheetView>
  </sheetViews>
  <sheetFormatPr defaultRowHeight="15" x14ac:dyDescent="0.25"/>
  <cols>
    <col min="1" max="1" width="42.5703125" bestFit="1" customWidth="1"/>
    <col min="2" max="2" width="62" style="97" customWidth="1"/>
    <col min="3" max="3" width="8.7109375" customWidth="1"/>
    <col min="4" max="4" width="8.7109375" style="1" bestFit="1" customWidth="1"/>
    <col min="5" max="5" width="12.28515625" style="134" customWidth="1"/>
    <col min="6" max="6" width="8.85546875" customWidth="1"/>
    <col min="7" max="7" width="8.85546875" style="1"/>
    <col min="8" max="8" width="28.28515625" style="94" customWidth="1"/>
    <col min="9" max="9" width="11" bestFit="1" customWidth="1"/>
    <col min="10" max="10" width="5.140625" customWidth="1"/>
    <col min="11" max="11" width="4.85546875" customWidth="1"/>
  </cols>
  <sheetData>
    <row r="1" spans="1:11" x14ac:dyDescent="0.25">
      <c r="A1" s="1" t="s">
        <v>355</v>
      </c>
      <c r="E1" s="140">
        <f ca="1">TODAY()</f>
        <v>46195</v>
      </c>
    </row>
    <row r="2" spans="1:11" s="1" customFormat="1" ht="31.5" x14ac:dyDescent="0.25">
      <c r="A2" s="120" t="s">
        <v>315</v>
      </c>
      <c r="B2" s="116" t="s">
        <v>314</v>
      </c>
      <c r="C2" s="117" t="s">
        <v>6</v>
      </c>
      <c r="D2" s="117" t="s">
        <v>13</v>
      </c>
      <c r="E2" s="135" t="s">
        <v>311</v>
      </c>
      <c r="F2" s="132" t="s">
        <v>312</v>
      </c>
      <c r="G2" s="133" t="s">
        <v>313</v>
      </c>
      <c r="H2" s="92" t="s">
        <v>286</v>
      </c>
      <c r="I2" s="113" t="s">
        <v>324</v>
      </c>
      <c r="J2" s="124" t="s">
        <v>123</v>
      </c>
      <c r="K2" s="113" t="s">
        <v>121</v>
      </c>
    </row>
    <row r="3" spans="1:11" ht="15.75" x14ac:dyDescent="0.25">
      <c r="A3" s="102"/>
      <c r="B3" s="96" t="s">
        <v>474</v>
      </c>
      <c r="C3" s="5">
        <f>SUMIFS('Журнал Работ'!F:F,'Журнал Работ'!E:E,B3,'Журнал Работ'!C:C,$C$2)</f>
        <v>4</v>
      </c>
      <c r="D3" s="194">
        <f>SUMIFS('Журнал Работ'!F:F,'Журнал Работ'!E:E,B3,'Журнал Работ'!C:C,$D$2)</f>
        <v>222</v>
      </c>
      <c r="E3" s="136"/>
      <c r="F3" s="102"/>
      <c r="G3" s="198"/>
      <c r="H3" s="93" t="s">
        <v>285</v>
      </c>
      <c r="I3" s="102"/>
      <c r="J3" s="125"/>
      <c r="K3" s="102"/>
    </row>
    <row r="4" spans="1:11" ht="15.75" x14ac:dyDescent="0.25">
      <c r="A4" s="102"/>
      <c r="B4" s="96" t="s">
        <v>256</v>
      </c>
      <c r="C4" s="5">
        <f>SUMIFS('Журнал Работ'!F:F,'Журнал Работ'!E:E,B4,'Журнал Работ'!C:C,$C$2)</f>
        <v>8</v>
      </c>
      <c r="D4" s="194">
        <f>SUMIFS('Журнал Работ'!F:F,'Журнал Работ'!E:E,B4,'Журнал Работ'!C:C,$D$2)</f>
        <v>2</v>
      </c>
      <c r="E4" s="102"/>
      <c r="F4" s="102"/>
      <c r="G4" s="198"/>
      <c r="H4" s="93" t="s">
        <v>285</v>
      </c>
      <c r="I4" s="102"/>
      <c r="J4" s="125"/>
      <c r="K4" s="102"/>
    </row>
    <row r="5" spans="1:11" ht="15.75" x14ac:dyDescent="0.25">
      <c r="A5" s="102"/>
      <c r="B5" s="96" t="s">
        <v>338</v>
      </c>
      <c r="C5" s="5">
        <f>SUMIFS('Журнал Работ'!F:F,'Журнал Работ'!E:E,B5,'Журнал Работ'!C:C,$C$2)</f>
        <v>2</v>
      </c>
      <c r="D5" s="194">
        <f>SUMIFS('Журнал Работ'!F:F,'Журнал Работ'!E:E,B5,'Журнал Работ'!C:C,$D$2)</f>
        <v>0</v>
      </c>
      <c r="E5" s="136"/>
      <c r="F5" s="102"/>
      <c r="G5" s="198"/>
      <c r="H5" s="93" t="s">
        <v>285</v>
      </c>
      <c r="I5" s="102"/>
      <c r="J5" s="125"/>
      <c r="K5" s="102"/>
    </row>
    <row r="6" spans="1:11" ht="15.75" x14ac:dyDescent="0.25">
      <c r="A6" s="102"/>
      <c r="B6" s="96" t="s">
        <v>287</v>
      </c>
      <c r="C6" s="5">
        <f>SUMIFS('Журнал Работ'!F:F,'Журнал Работ'!E:E,B6,'Журнал Работ'!C:C,$C$2)</f>
        <v>0</v>
      </c>
      <c r="D6" s="194">
        <f>SUMIFS('Журнал Работ'!F:F,'Журнал Работ'!E:E,B6,'Журнал Работ'!C:C,$D$2)</f>
        <v>0</v>
      </c>
      <c r="E6" s="136"/>
      <c r="F6" s="102"/>
      <c r="G6" s="198"/>
      <c r="H6" s="93" t="s">
        <v>285</v>
      </c>
      <c r="I6" s="102"/>
      <c r="J6" s="125"/>
      <c r="K6" s="102"/>
    </row>
    <row r="7" spans="1:11" ht="15.75" x14ac:dyDescent="0.25">
      <c r="A7" s="102"/>
      <c r="B7" s="96" t="s">
        <v>207</v>
      </c>
      <c r="C7" s="5">
        <f>SUMIFS('Журнал Работ'!F:F,'Журнал Работ'!E:E,B7,'Журнал Работ'!C:C,$C$2)</f>
        <v>0</v>
      </c>
      <c r="D7" s="194">
        <f>SUMIFS('Журнал Работ'!F:F,'Журнал Работ'!E:E,B7,'Журнал Работ'!C:C,$D$2)</f>
        <v>0</v>
      </c>
      <c r="E7" s="136"/>
      <c r="F7" s="102"/>
      <c r="G7" s="198"/>
      <c r="H7" s="93" t="s">
        <v>285</v>
      </c>
      <c r="I7" s="102"/>
      <c r="J7" s="125"/>
      <c r="K7" s="102"/>
    </row>
    <row r="8" spans="1:11" ht="15.75" x14ac:dyDescent="0.25">
      <c r="A8" s="102"/>
      <c r="B8" s="96" t="s">
        <v>77</v>
      </c>
      <c r="C8" s="5">
        <f>SUMIFS('Журнал Работ'!F:F,'Журнал Работ'!E:E,B8,'Журнал Работ'!C:C,$C$2)</f>
        <v>0</v>
      </c>
      <c r="D8" s="194">
        <f>SUMIFS('Журнал Работ'!F:F,'Журнал Работ'!E:E,B8,'Журнал Работ'!C:C,$D$2)</f>
        <v>13</v>
      </c>
      <c r="E8" s="136"/>
      <c r="F8" s="102"/>
      <c r="G8" s="198"/>
      <c r="H8" s="93" t="s">
        <v>285</v>
      </c>
      <c r="I8" s="102"/>
      <c r="J8" s="125"/>
      <c r="K8" s="102"/>
    </row>
    <row r="9" spans="1:11" ht="15.75" x14ac:dyDescent="0.25">
      <c r="A9" s="102"/>
      <c r="B9" s="96" t="s">
        <v>140</v>
      </c>
      <c r="C9" s="5">
        <f>SUMIFS('Журнал Работ'!F:F,'Журнал Работ'!E:E,B9,'Журнал Работ'!C:C,$C$2)</f>
        <v>0</v>
      </c>
      <c r="D9" s="194">
        <f>SUMIFS('Журнал Работ'!F:F,'Журнал Работ'!E:E,B9,'Журнал Работ'!C:C,$D$2)</f>
        <v>8.5</v>
      </c>
      <c r="E9" s="136"/>
      <c r="F9" s="102"/>
      <c r="G9" s="198"/>
      <c r="H9" s="93" t="s">
        <v>285</v>
      </c>
      <c r="I9" s="102"/>
      <c r="J9" s="125"/>
      <c r="K9" s="102"/>
    </row>
    <row r="10" spans="1:11" ht="15.75" x14ac:dyDescent="0.25">
      <c r="A10" s="102"/>
      <c r="B10" s="96" t="s">
        <v>124</v>
      </c>
      <c r="C10" s="5">
        <f>SUMIFS('Журнал Работ'!F:F,'Журнал Работ'!E:E,B10,'Журнал Работ'!C:C,$C$2)</f>
        <v>3</v>
      </c>
      <c r="D10" s="194">
        <f>SUMIFS('Журнал Работ'!F:F,'Журнал Работ'!E:E,B10,'Журнал Работ'!C:C,$D$2)</f>
        <v>0</v>
      </c>
      <c r="E10" s="136"/>
      <c r="F10" s="102"/>
      <c r="G10" s="198"/>
      <c r="H10" s="93" t="s">
        <v>285</v>
      </c>
      <c r="I10" s="102"/>
      <c r="J10" s="125"/>
      <c r="K10" s="102"/>
    </row>
    <row r="11" spans="1:11" ht="15.75" x14ac:dyDescent="0.25">
      <c r="A11" s="102"/>
      <c r="B11" s="96" t="s">
        <v>95</v>
      </c>
      <c r="C11" s="5">
        <f>SUMIFS('Журнал Работ'!F:F,'Журнал Работ'!E:E,B11,'Журнал Работ'!C:C,$C$2)</f>
        <v>5</v>
      </c>
      <c r="D11" s="194">
        <f>SUMIFS('Журнал Работ'!F:F,'Журнал Работ'!E:E,B11,'Журнал Работ'!C:C,$D$2)</f>
        <v>0</v>
      </c>
      <c r="E11" s="136"/>
      <c r="F11" s="102"/>
      <c r="G11" s="198"/>
      <c r="H11" s="93" t="s">
        <v>285</v>
      </c>
      <c r="I11" s="102"/>
      <c r="J11" s="125"/>
      <c r="K11" s="102"/>
    </row>
    <row r="12" spans="1:11" ht="15.75" x14ac:dyDescent="0.25">
      <c r="A12" s="102"/>
      <c r="B12" s="96" t="s">
        <v>55</v>
      </c>
      <c r="C12" s="5">
        <f>SUMIFS('Журнал Работ'!F:F,'Журнал Работ'!E:E,B12,'Журнал Работ'!C:C,$C$2)</f>
        <v>20</v>
      </c>
      <c r="D12" s="194">
        <f>SUMIFS('Журнал Работ'!F:F,'Журнал Работ'!E:E,B12,'Журнал Работ'!C:C,$D$2)</f>
        <v>0</v>
      </c>
      <c r="E12" s="136"/>
      <c r="F12" s="102"/>
      <c r="G12" s="198"/>
      <c r="H12" s="93" t="s">
        <v>285</v>
      </c>
      <c r="I12" s="102"/>
      <c r="J12" s="125"/>
      <c r="K12" s="102"/>
    </row>
    <row r="13" spans="1:11" ht="15.75" x14ac:dyDescent="0.25">
      <c r="A13" s="102"/>
      <c r="B13" s="96" t="s">
        <v>69</v>
      </c>
      <c r="C13" s="5">
        <f>SUMIFS('Журнал Работ'!F:F,'Журнал Работ'!E:E,B13,'Журнал Работ'!C:C,$C$2)</f>
        <v>34</v>
      </c>
      <c r="D13" s="194">
        <f>SUMIFS('Журнал Работ'!F:F,'Журнал Работ'!E:E,B13,'Журнал Работ'!C:C,$D$2)</f>
        <v>0</v>
      </c>
      <c r="E13" s="136"/>
      <c r="F13" s="102"/>
      <c r="G13" s="198"/>
      <c r="H13" s="93" t="s">
        <v>285</v>
      </c>
      <c r="I13" s="102"/>
      <c r="J13" s="125"/>
      <c r="K13" s="102"/>
    </row>
    <row r="14" spans="1:11" ht="15.75" x14ac:dyDescent="0.25">
      <c r="A14" s="102"/>
      <c r="B14" s="96" t="s">
        <v>63</v>
      </c>
      <c r="C14" s="5">
        <f>SUMIFS('Журнал Работ'!F:F,'Журнал Работ'!E:E,B14,'Журнал Работ'!C:C,$C$2)</f>
        <v>54</v>
      </c>
      <c r="D14" s="194">
        <f>SUMIFS('Журнал Работ'!F:F,'Журнал Работ'!E:E,B14,'Журнал Работ'!C:C,$D$2)</f>
        <v>5</v>
      </c>
      <c r="E14" s="136"/>
      <c r="F14" s="102"/>
      <c r="G14" s="198"/>
      <c r="H14" s="93" t="s">
        <v>285</v>
      </c>
      <c r="I14" s="102"/>
      <c r="J14" s="125"/>
      <c r="K14" s="102"/>
    </row>
    <row r="15" spans="1:11" ht="15.75" x14ac:dyDescent="0.25">
      <c r="A15" s="102"/>
      <c r="B15" s="96" t="s">
        <v>264</v>
      </c>
      <c r="C15" s="5">
        <f>SUMIFS('Журнал Работ'!F:F,'Журнал Работ'!E:E,B15,'Журнал Работ'!C:C,$C$2)</f>
        <v>0</v>
      </c>
      <c r="D15" s="194">
        <f>SUMIFS('Журнал Работ'!F:F,'Журнал Работ'!E:E,B15,'Журнал Работ'!C:C,$D$2)</f>
        <v>8</v>
      </c>
      <c r="E15" s="136"/>
      <c r="F15" s="102"/>
      <c r="G15" s="198"/>
      <c r="H15" s="93" t="s">
        <v>285</v>
      </c>
      <c r="I15" s="102"/>
      <c r="J15" s="125"/>
      <c r="K15" s="102"/>
    </row>
    <row r="16" spans="1:11" ht="15.75" x14ac:dyDescent="0.25">
      <c r="A16" s="102"/>
      <c r="B16" s="96" t="s">
        <v>120</v>
      </c>
      <c r="C16" s="5">
        <f>SUMIFS('Журнал Работ'!F:F,'Журнал Работ'!E:E,B16,'Журнал Работ'!C:C,$C$2)</f>
        <v>42</v>
      </c>
      <c r="D16" s="194">
        <f>SUMIFS('Журнал Работ'!F:F,'Журнал Работ'!E:E,B16,'Журнал Работ'!C:C,$D$2)</f>
        <v>24</v>
      </c>
      <c r="E16" s="136"/>
      <c r="F16" s="102"/>
      <c r="G16" s="198"/>
      <c r="H16" s="93" t="s">
        <v>285</v>
      </c>
      <c r="I16" s="102"/>
      <c r="J16" s="125"/>
      <c r="K16" s="102"/>
    </row>
    <row r="17" spans="1:11" ht="15.75" x14ac:dyDescent="0.25">
      <c r="A17" s="102"/>
      <c r="B17" s="96" t="s">
        <v>56</v>
      </c>
      <c r="C17" s="5">
        <f>SUMIFS('Журнал Работ'!F:F,'Журнал Работ'!E:E,B17,'Журнал Работ'!C:C,$C$2)</f>
        <v>18</v>
      </c>
      <c r="D17" s="194">
        <f>SUMIFS('Журнал Работ'!F:F,'Журнал Работ'!E:E,B17,'Журнал Работ'!C:C,$D$2)</f>
        <v>0</v>
      </c>
      <c r="E17" s="136"/>
      <c r="F17" s="102"/>
      <c r="G17" s="198"/>
      <c r="H17" s="93" t="s">
        <v>285</v>
      </c>
      <c r="I17" s="102"/>
      <c r="J17" s="125"/>
      <c r="K17" s="102"/>
    </row>
    <row r="18" spans="1:11" ht="15.75" x14ac:dyDescent="0.25">
      <c r="A18" s="102"/>
      <c r="B18" s="96" t="s">
        <v>57</v>
      </c>
      <c r="C18" s="5">
        <f>SUMIFS('Журнал Работ'!F:F,'Журнал Работ'!E:E,B18,'Журнал Работ'!C:C,$C$2)</f>
        <v>9</v>
      </c>
      <c r="D18" s="194">
        <f>SUMIFS('Журнал Работ'!F:F,'Журнал Работ'!E:E,B18,'Журнал Работ'!C:C,$D$2)</f>
        <v>0</v>
      </c>
      <c r="E18" s="136"/>
      <c r="F18" s="102"/>
      <c r="G18" s="198"/>
      <c r="H18" s="93" t="s">
        <v>285</v>
      </c>
      <c r="I18" s="102"/>
      <c r="J18" s="125"/>
      <c r="K18" s="102"/>
    </row>
    <row r="19" spans="1:11" ht="15.75" x14ac:dyDescent="0.25">
      <c r="A19" s="102"/>
      <c r="B19" s="96" t="s">
        <v>60</v>
      </c>
      <c r="C19" s="5">
        <f>SUMIFS('Журнал Работ'!F:F,'Журнал Работ'!E:E,B19,'Журнал Работ'!C:C,$C$2)</f>
        <v>6</v>
      </c>
      <c r="D19" s="194">
        <f>SUMIFS('Журнал Работ'!F:F,'Журнал Работ'!E:E,B19,'Журнал Работ'!C:C,$D$2)</f>
        <v>0</v>
      </c>
      <c r="E19" s="136"/>
      <c r="F19" s="102"/>
      <c r="G19" s="198"/>
      <c r="H19" s="93" t="s">
        <v>285</v>
      </c>
      <c r="I19" s="102"/>
      <c r="J19" s="125"/>
      <c r="K19" s="102"/>
    </row>
    <row r="20" spans="1:11" ht="15.75" x14ac:dyDescent="0.25">
      <c r="A20" s="102"/>
      <c r="B20" s="96" t="s">
        <v>81</v>
      </c>
      <c r="C20" s="5">
        <f>SUMIFS('Журнал Работ'!F:F,'Журнал Работ'!E:E,B20,'Журнал Работ'!C:C,$C$2)</f>
        <v>6</v>
      </c>
      <c r="D20" s="194">
        <f>SUMIFS('Журнал Работ'!F:F,'Журнал Работ'!E:E,B20,'Журнал Работ'!C:C,$D$2)</f>
        <v>0</v>
      </c>
      <c r="E20" s="136"/>
      <c r="F20" s="102"/>
      <c r="G20" s="198"/>
      <c r="H20" s="93" t="s">
        <v>285</v>
      </c>
      <c r="I20" s="102"/>
      <c r="J20" s="125"/>
      <c r="K20" s="102"/>
    </row>
    <row r="21" spans="1:11" ht="15.75" x14ac:dyDescent="0.25">
      <c r="A21" s="102"/>
      <c r="B21" s="96" t="s">
        <v>61</v>
      </c>
      <c r="C21" s="5">
        <f>SUMIFS('Журнал Работ'!F:F,'Журнал Работ'!E:E,B21,'Журнал Работ'!C:C,$C$2)</f>
        <v>20</v>
      </c>
      <c r="D21" s="194">
        <f>SUMIFS('Журнал Работ'!F:F,'Журнал Работ'!E:E,B21,'Журнал Работ'!C:C,$D$2)</f>
        <v>3</v>
      </c>
      <c r="E21" s="136"/>
      <c r="F21" s="102"/>
      <c r="G21" s="198"/>
      <c r="H21" s="93" t="s">
        <v>285</v>
      </c>
      <c r="I21" s="102"/>
      <c r="J21" s="125"/>
      <c r="K21" s="102"/>
    </row>
    <row r="22" spans="1:11" ht="15.75" x14ac:dyDescent="0.25">
      <c r="A22" s="102"/>
      <c r="B22" s="96" t="s">
        <v>64</v>
      </c>
      <c r="C22" s="5">
        <f>SUMIFS('Журнал Работ'!F:F,'Журнал Работ'!E:E,B22,'Журнал Работ'!C:C,$C$2)</f>
        <v>9</v>
      </c>
      <c r="D22" s="194">
        <f>SUMIFS('Журнал Работ'!F:F,'Журнал Работ'!E:E,B22,'Журнал Работ'!C:C,$D$2)</f>
        <v>0</v>
      </c>
      <c r="E22" s="136"/>
      <c r="F22" s="102"/>
      <c r="G22" s="198"/>
      <c r="H22" s="93" t="s">
        <v>285</v>
      </c>
      <c r="I22" s="102"/>
      <c r="J22" s="125"/>
      <c r="K22" s="102"/>
    </row>
    <row r="23" spans="1:11" ht="15.75" x14ac:dyDescent="0.25">
      <c r="A23" s="102"/>
      <c r="B23" s="96" t="s">
        <v>109</v>
      </c>
      <c r="C23" s="5">
        <f>SUMIFS('Журнал Работ'!F:F,'Журнал Работ'!E:E,B23,'Журнал Работ'!C:C,$C$2)</f>
        <v>8</v>
      </c>
      <c r="D23" s="194">
        <f>SUMIFS('Журнал Работ'!F:F,'Журнал Работ'!E:E,B23,'Журнал Работ'!C:C,$D$2)</f>
        <v>0</v>
      </c>
      <c r="E23" s="136"/>
      <c r="F23" s="102"/>
      <c r="G23" s="198"/>
      <c r="H23" s="93" t="s">
        <v>285</v>
      </c>
      <c r="I23" s="102"/>
      <c r="J23" s="125"/>
      <c r="K23" s="102"/>
    </row>
    <row r="24" spans="1:11" ht="15.75" x14ac:dyDescent="0.25">
      <c r="A24" s="102"/>
      <c r="B24" s="96" t="s">
        <v>51</v>
      </c>
      <c r="C24" s="5">
        <f>SUMIFS('Журнал Работ'!F:F,'Журнал Работ'!E:E,B24,'Журнал Работ'!C:C,$C$2)</f>
        <v>112</v>
      </c>
      <c r="D24" s="194">
        <f>SUMIFS('Журнал Работ'!F:F,'Журнал Работ'!E:E,B24,'Журнал Работ'!C:C,$D$2)</f>
        <v>0</v>
      </c>
      <c r="E24" s="136"/>
      <c r="F24" s="102"/>
      <c r="G24" s="198"/>
      <c r="H24" s="93" t="s">
        <v>285</v>
      </c>
      <c r="I24" s="102"/>
      <c r="J24" s="125"/>
      <c r="K24" s="102"/>
    </row>
    <row r="25" spans="1:11" ht="15.75" x14ac:dyDescent="0.25">
      <c r="A25" s="102"/>
      <c r="B25" s="96" t="s">
        <v>80</v>
      </c>
      <c r="C25" s="5">
        <f>SUMIFS('Журнал Работ'!F:F,'Журнал Работ'!E:E,B25,'Журнал Работ'!C:C,$C$2)</f>
        <v>136</v>
      </c>
      <c r="D25" s="194">
        <f>SUMIFS('Журнал Работ'!F:F,'Журнал Работ'!E:E,B25,'Журнал Работ'!C:C,$D$2)</f>
        <v>157</v>
      </c>
      <c r="E25" s="136"/>
      <c r="F25" s="102"/>
      <c r="G25" s="198"/>
      <c r="H25" s="93" t="s">
        <v>285</v>
      </c>
      <c r="I25" s="102"/>
      <c r="J25" s="125"/>
      <c r="K25" s="102"/>
    </row>
    <row r="26" spans="1:11" ht="15.75" x14ac:dyDescent="0.25">
      <c r="A26" s="102"/>
      <c r="B26" s="96" t="s">
        <v>284</v>
      </c>
      <c r="C26" s="5">
        <f>SUMIFS('Журнал Работ'!F:F,'Журнал Работ'!E:E,B26,'Журнал Работ'!C:C,$C$2)</f>
        <v>0</v>
      </c>
      <c r="D26" s="194">
        <f>SUMIFS('Журнал Работ'!F:F,'Журнал Работ'!E:E,B26,'Журнал Работ'!C:C,$D$2)</f>
        <v>10</v>
      </c>
      <c r="E26" s="136"/>
      <c r="F26" s="102"/>
      <c r="G26" s="198"/>
      <c r="H26" s="93" t="s">
        <v>285</v>
      </c>
      <c r="I26" s="102"/>
      <c r="J26" s="125"/>
      <c r="K26" s="102"/>
    </row>
    <row r="27" spans="1:11" ht="15.75" x14ac:dyDescent="0.25">
      <c r="A27" s="102"/>
      <c r="B27" s="96" t="s">
        <v>132</v>
      </c>
      <c r="C27" s="5">
        <f>SUMIFS('Журнал Работ'!F:F,'Журнал Работ'!E:E,B27,'Журнал Работ'!C:C,$C$2)</f>
        <v>0</v>
      </c>
      <c r="D27" s="194">
        <f>SUMIFS('Журнал Работ'!F:F,'Журнал Работ'!E:E,B27,'Журнал Работ'!C:C,$D$2)</f>
        <v>0</v>
      </c>
      <c r="E27" s="136"/>
      <c r="F27" s="102"/>
      <c r="G27" s="198"/>
      <c r="H27" s="93" t="s">
        <v>285</v>
      </c>
      <c r="I27" s="102"/>
      <c r="J27" s="125"/>
      <c r="K27" s="102"/>
    </row>
    <row r="28" spans="1:11" ht="15.75" x14ac:dyDescent="0.25">
      <c r="A28" s="102"/>
      <c r="B28" s="96" t="s">
        <v>144</v>
      </c>
      <c r="C28" s="5">
        <f>SUMIFS('Журнал Работ'!F:F,'Журнал Работ'!E:E,B28,'Журнал Работ'!C:C,$C$2)</f>
        <v>39</v>
      </c>
      <c r="D28" s="194">
        <f>SUMIFS('Журнал Работ'!F:F,'Журнал Работ'!E:E,B28,'Журнал Работ'!C:C,$D$2)</f>
        <v>25</v>
      </c>
      <c r="E28" s="136"/>
      <c r="F28" s="102"/>
      <c r="G28" s="198"/>
      <c r="H28" s="93" t="s">
        <v>285</v>
      </c>
      <c r="I28" s="102"/>
      <c r="J28" s="125"/>
      <c r="K28" s="102"/>
    </row>
    <row r="29" spans="1:11" ht="15.75" x14ac:dyDescent="0.25">
      <c r="A29" s="102"/>
      <c r="B29" s="96" t="s">
        <v>229</v>
      </c>
      <c r="C29" s="5">
        <f>SUMIFS('Журнал Работ'!F:F,'Журнал Работ'!E:E,B29,'Журнал Работ'!C:C,$C$2)</f>
        <v>0</v>
      </c>
      <c r="D29" s="194">
        <f>SUMIFS('Журнал Работ'!F:F,'Журнал Работ'!E:E,B29,'Журнал Работ'!C:C,$D$2)</f>
        <v>0</v>
      </c>
      <c r="E29" s="136"/>
      <c r="F29" s="102"/>
      <c r="G29" s="198"/>
      <c r="H29" s="93" t="s">
        <v>285</v>
      </c>
      <c r="I29" s="102"/>
      <c r="J29" s="125"/>
      <c r="K29" s="102"/>
    </row>
    <row r="30" spans="1:11" ht="15.75" x14ac:dyDescent="0.25">
      <c r="A30" s="102"/>
      <c r="B30" s="96" t="s">
        <v>218</v>
      </c>
      <c r="C30" s="5">
        <f>SUMIFS('Журнал Работ'!F:F,'Журнал Работ'!E:E,B30,'Журнал Работ'!C:C,$C$2)</f>
        <v>0</v>
      </c>
      <c r="D30" s="194">
        <f>SUMIFS('Журнал Работ'!F:F,'Журнал Работ'!E:E,B30,'Журнал Работ'!C:C,$D$2)</f>
        <v>0</v>
      </c>
      <c r="E30" s="136"/>
      <c r="F30" s="102"/>
      <c r="G30" s="198"/>
      <c r="H30" s="93" t="s">
        <v>285</v>
      </c>
      <c r="I30" s="102"/>
      <c r="J30" s="125"/>
      <c r="K30" s="102"/>
    </row>
    <row r="31" spans="1:11" ht="15.75" x14ac:dyDescent="0.25">
      <c r="A31" s="102"/>
      <c r="B31" s="96" t="s">
        <v>12</v>
      </c>
      <c r="C31" s="5">
        <f>SUMIFS('Журнал Работ'!F:F,'Журнал Работ'!E:E,B31,'Журнал Работ'!C:C,$C$2)</f>
        <v>38</v>
      </c>
      <c r="D31" s="194">
        <f>SUMIFS('Журнал Работ'!F:F,'Журнал Работ'!E:E,B31,'Журнал Работ'!C:C,$D$2)</f>
        <v>0</v>
      </c>
      <c r="E31" s="136"/>
      <c r="F31" s="102"/>
      <c r="G31" s="198"/>
      <c r="H31" s="93"/>
      <c r="I31" s="102"/>
      <c r="J31" s="125"/>
      <c r="K31" s="102"/>
    </row>
    <row r="32" spans="1:11" ht="15.75" x14ac:dyDescent="0.25">
      <c r="A32" s="102"/>
      <c r="B32" s="96" t="s">
        <v>212</v>
      </c>
      <c r="C32" s="5">
        <f>SUMIFS('Журнал Работ'!F:F,'Журнал Работ'!E:E,B32,'Журнал Работ'!C:C,$C$2)</f>
        <v>96</v>
      </c>
      <c r="D32" s="194">
        <f>SUMIFS('Журнал Работ'!F:F,'Журнал Работ'!E:E,B32,'Журнал Работ'!C:C,$D$2)</f>
        <v>58</v>
      </c>
      <c r="E32" s="136"/>
      <c r="F32" s="102"/>
      <c r="G32" s="198"/>
      <c r="H32" s="93"/>
      <c r="I32" s="102"/>
      <c r="J32" s="125"/>
      <c r="K32" s="102"/>
    </row>
    <row r="33" spans="1:11" ht="15.75" x14ac:dyDescent="0.25">
      <c r="A33" s="102"/>
      <c r="B33" s="96" t="s">
        <v>42</v>
      </c>
      <c r="C33" s="5">
        <f>SUMIFS('Журнал Работ'!F:F,'Журнал Работ'!E:E,B33,'Журнал Работ'!C:C,$C$2)</f>
        <v>8</v>
      </c>
      <c r="D33" s="194">
        <f>SUMIFS('Журнал Работ'!F:F,'Журнал Работ'!E:E,B33,'Журнал Работ'!C:C,$D$2)</f>
        <v>13</v>
      </c>
      <c r="E33" s="136"/>
      <c r="F33" s="102"/>
      <c r="G33" s="198"/>
      <c r="H33" s="93" t="s">
        <v>285</v>
      </c>
      <c r="I33" s="102"/>
      <c r="J33" s="125"/>
      <c r="K33" s="102"/>
    </row>
    <row r="34" spans="1:11" ht="15.75" x14ac:dyDescent="0.25">
      <c r="A34" s="102"/>
      <c r="B34" s="96" t="s">
        <v>356</v>
      </c>
      <c r="C34" s="5">
        <f>SUMIFS('Журнал Работ'!F:F,'Журнал Работ'!E:E,B34,'Журнал Работ'!C:C,$C$2)</f>
        <v>29</v>
      </c>
      <c r="D34" s="194">
        <f>SUMIFS('Журнал Работ'!F:F,'Журнал Работ'!E:E,B34,'Журнал Работ'!C:C,$D$2)</f>
        <v>18</v>
      </c>
      <c r="E34" s="136"/>
      <c r="F34" s="102"/>
      <c r="G34" s="198"/>
      <c r="H34" s="93" t="s">
        <v>285</v>
      </c>
      <c r="I34" s="102"/>
      <c r="J34" s="125"/>
      <c r="K34" s="102"/>
    </row>
    <row r="35" spans="1:11" ht="15.75" x14ac:dyDescent="0.25">
      <c r="A35" s="102"/>
      <c r="B35" s="96" t="s">
        <v>26</v>
      </c>
      <c r="C35" s="5">
        <f>SUMIFS('Журнал Работ'!F:F,'Журнал Работ'!E:E,B35,'Журнал Работ'!C:C,$C$2)</f>
        <v>2324</v>
      </c>
      <c r="D35" s="194">
        <f>SUMIFS('Журнал Работ'!F:F,'Журнал Работ'!E:E,B35,'Журнал Работ'!C:C,$D$2)</f>
        <v>650.5</v>
      </c>
      <c r="E35" s="136"/>
      <c r="F35" s="102"/>
      <c r="G35" s="198"/>
      <c r="H35" s="93"/>
      <c r="I35" s="102"/>
      <c r="J35" s="125"/>
      <c r="K35" s="102"/>
    </row>
    <row r="36" spans="1:11" ht="15.75" x14ac:dyDescent="0.25">
      <c r="A36" s="102"/>
      <c r="B36" s="96" t="s">
        <v>437</v>
      </c>
      <c r="C36" s="5">
        <f>SUMIFS('Журнал Работ'!F:F,'Журнал Работ'!E:E,B36,'Журнал Работ'!C:C,$C$2)</f>
        <v>30</v>
      </c>
      <c r="D36" s="194">
        <f>SUMIFS('Журнал Работ'!F:F,'Журнал Работ'!E:E,B36,'Журнал Работ'!C:C,$D$2)</f>
        <v>0</v>
      </c>
      <c r="E36" s="136"/>
      <c r="F36" s="102"/>
      <c r="G36" s="198"/>
      <c r="H36" s="93"/>
      <c r="I36" s="102"/>
      <c r="J36" s="125"/>
      <c r="K36" s="102"/>
    </row>
    <row r="37" spans="1:11" ht="15.75" x14ac:dyDescent="0.25">
      <c r="A37" s="102"/>
      <c r="B37" s="96" t="s">
        <v>206</v>
      </c>
      <c r="C37" s="5">
        <f>SUMIFS('Журнал Работ'!F:F,'Журнал Работ'!E:E,B37,'Журнал Работ'!C:C,$C$2)</f>
        <v>245</v>
      </c>
      <c r="D37" s="194">
        <f>SUMIFS('Журнал Работ'!F:F,'Журнал Работ'!E:E,B37,'Журнал Работ'!C:C,$D$2)</f>
        <v>218</v>
      </c>
      <c r="E37" s="136"/>
      <c r="F37" s="102"/>
      <c r="G37" s="198"/>
      <c r="H37" s="93"/>
      <c r="I37" s="102"/>
      <c r="J37" s="125"/>
      <c r="K37" s="102"/>
    </row>
    <row r="38" spans="1:11" ht="15.75" x14ac:dyDescent="0.25">
      <c r="A38" s="102"/>
      <c r="B38" s="96" t="s">
        <v>115</v>
      </c>
      <c r="C38" s="5">
        <f>SUMIFS('Журнал Работ'!F:F,'Журнал Работ'!E:E,B38,'Журнал Работ'!C:C,$C$2)</f>
        <v>35</v>
      </c>
      <c r="D38" s="194">
        <f>SUMIFS('Журнал Работ'!F:F,'Журнал Работ'!E:E,B38,'Журнал Работ'!C:C,$D$2)</f>
        <v>37</v>
      </c>
      <c r="E38" s="136"/>
      <c r="F38" s="102"/>
      <c r="G38" s="198"/>
      <c r="H38" s="93"/>
      <c r="I38" s="102"/>
      <c r="J38" s="125"/>
      <c r="K38" s="102"/>
    </row>
    <row r="39" spans="1:11" ht="15.75" x14ac:dyDescent="0.25">
      <c r="A39" s="102" t="s">
        <v>293</v>
      </c>
      <c r="B39" s="96" t="s">
        <v>450</v>
      </c>
      <c r="C39" s="5">
        <f>SUMIFS('Журнал Работ'!F:F,'Журнал Работ'!E:E,B39,'Журнал Работ'!C:C,$C$2)</f>
        <v>1505</v>
      </c>
      <c r="D39" s="194">
        <f>SUMIFS('Журнал Работ'!F:F,'Журнал Работ'!E:E,B39,'Журнал Работ'!C:C,$D$2)</f>
        <v>100</v>
      </c>
      <c r="E39" s="136">
        <v>2075</v>
      </c>
      <c r="F39" s="102">
        <f>E39-Таблица1[[#This Row],[406/1]]</f>
        <v>570</v>
      </c>
      <c r="G39" s="198">
        <f>E39-Таблица1[[#This Row],[406/2]]</f>
        <v>1975</v>
      </c>
      <c r="H39" s="93"/>
      <c r="I39" s="102"/>
      <c r="J39" s="125">
        <v>128</v>
      </c>
      <c r="K39" s="102"/>
    </row>
    <row r="40" spans="1:11" ht="15.75" x14ac:dyDescent="0.25">
      <c r="A40" s="102" t="s">
        <v>293</v>
      </c>
      <c r="B40" s="96" t="s">
        <v>449</v>
      </c>
      <c r="C40" s="5">
        <f>SUMIFS('Журнал Работ'!F:F,'Журнал Работ'!E:E,B40,'Журнал Работ'!C:C,$C$2)</f>
        <v>249</v>
      </c>
      <c r="D40" s="194">
        <f>SUMIFS('Журнал Работ'!F:F,'Журнал Работ'!E:E,B40,'Журнал Работ'!C:C,$D$2)</f>
        <v>25</v>
      </c>
      <c r="E40" s="136"/>
      <c r="F40" s="102">
        <f>E40-Таблица1[[#This Row],[406/1]]</f>
        <v>-249</v>
      </c>
      <c r="G40" s="198">
        <f>E40-Таблица1[[#This Row],[406/2]]</f>
        <v>-25</v>
      </c>
      <c r="H40" s="93"/>
      <c r="I40" s="102"/>
      <c r="J40" s="125">
        <v>129</v>
      </c>
      <c r="K40" s="102"/>
    </row>
    <row r="41" spans="1:11" ht="15.75" x14ac:dyDescent="0.25">
      <c r="A41" s="102" t="s">
        <v>293</v>
      </c>
      <c r="B41" s="96" t="s">
        <v>272</v>
      </c>
      <c r="C41" s="5">
        <f>SUMIFS('Журнал Работ'!F:F,'Журнал Работ'!E:E,B41,'Журнал Работ'!C:C,$C$2)</f>
        <v>792</v>
      </c>
      <c r="D41" s="194">
        <f>SUMIFS('Журнал Работ'!F:F,'Журнал Работ'!E:E,B41,'Журнал Работ'!C:C,$D$2)</f>
        <v>57</v>
      </c>
      <c r="E41" s="136">
        <f>J41+K41</f>
        <v>1457</v>
      </c>
      <c r="F41" s="102">
        <f>E41-Таблица1[[#This Row],[406/1]]</f>
        <v>665</v>
      </c>
      <c r="G41" s="198">
        <f>E41-Таблица1[[#This Row],[406/2]]</f>
        <v>1400</v>
      </c>
      <c r="H41" s="93"/>
      <c r="I41" s="102"/>
      <c r="J41" s="125">
        <v>1132</v>
      </c>
      <c r="K41" s="102">
        <v>325</v>
      </c>
    </row>
    <row r="42" spans="1:11" ht="15.75" x14ac:dyDescent="0.25">
      <c r="A42" s="163" t="s">
        <v>293</v>
      </c>
      <c r="B42" s="123" t="s">
        <v>489</v>
      </c>
      <c r="C42" s="211">
        <f>SUMIFS('Журнал Работ'!F:F,'Журнал Работ'!E:E,B42,'Журнал Работ'!C:C,$C$2)</f>
        <v>31</v>
      </c>
      <c r="D42" s="195">
        <f>SUMIFS('Журнал Работ'!F:F,'Журнал Работ'!E:E,B42,'Журнал Работ'!C:C,$D$2)</f>
        <v>0</v>
      </c>
      <c r="E42" s="212"/>
      <c r="F42" s="210"/>
      <c r="G42" s="199"/>
    </row>
    <row r="43" spans="1:11" ht="15.75" x14ac:dyDescent="0.25">
      <c r="A43" s="102" t="s">
        <v>293</v>
      </c>
      <c r="B43" s="96" t="s">
        <v>200</v>
      </c>
      <c r="C43" s="86">
        <f>SUMIFS('Журнал Работ'!F:F,'Журнал Работ'!E:E,B43,'Журнал Работ'!C:C,$C$2)</f>
        <v>1471</v>
      </c>
      <c r="D43" s="194">
        <f>SUMIFS('Журнал Работ'!F:F,'Журнал Работ'!E:E,B43,'Журнал Работ'!C:C,$D$2)</f>
        <v>168</v>
      </c>
      <c r="E43" s="136">
        <f>J43+K43</f>
        <v>1151</v>
      </c>
      <c r="F43" s="102">
        <f>E43-Таблица1[[#This Row],[406/1]]</f>
        <v>-320</v>
      </c>
      <c r="G43" s="198">
        <f>E43-Таблица1[[#This Row],[406/2]]</f>
        <v>983</v>
      </c>
      <c r="H43" s="93"/>
      <c r="I43" s="102"/>
      <c r="J43" s="125"/>
      <c r="K43" s="102">
        <v>1151</v>
      </c>
    </row>
    <row r="44" spans="1:11" ht="15.75" x14ac:dyDescent="0.25">
      <c r="A44" s="102" t="s">
        <v>293</v>
      </c>
      <c r="B44" s="96" t="s">
        <v>271</v>
      </c>
      <c r="C44" s="5">
        <f>SUMIFS('Журнал Работ'!F:F,'Журнал Работ'!E:E,B44,'Журнал Работ'!C:C,$C$2)</f>
        <v>2499</v>
      </c>
      <c r="D44" s="194">
        <f>SUMIFS('Журнал Работ'!F:F,'Журнал Работ'!E:E,B44,'Журнал Работ'!C:C,$D$2)</f>
        <v>615.5</v>
      </c>
      <c r="E44" s="136">
        <f>J44+K44</f>
        <v>649</v>
      </c>
      <c r="F44" s="102">
        <f>E44-Таблица1[[#This Row],[406/1]]</f>
        <v>-1850</v>
      </c>
      <c r="G44" s="198">
        <f>E44-Таблица1[[#This Row],[406/2]]</f>
        <v>33.5</v>
      </c>
      <c r="H44" s="93"/>
      <c r="I44" s="102"/>
      <c r="J44" s="125"/>
      <c r="K44" s="102">
        <v>649</v>
      </c>
    </row>
    <row r="45" spans="1:11" ht="15.75" x14ac:dyDescent="0.25">
      <c r="A45" s="102" t="s">
        <v>293</v>
      </c>
      <c r="B45" s="96" t="s">
        <v>202</v>
      </c>
      <c r="C45" s="5">
        <f>SUMIFS('Журнал Работ'!F:F,'Журнал Работ'!E:E,B45,'Журнал Работ'!C:C,$C$2)</f>
        <v>359</v>
      </c>
      <c r="D45" s="194">
        <f>SUMIFS('Журнал Работ'!F:F,'Журнал Работ'!E:E,B45,'Журнал Работ'!C:C,$D$2)</f>
        <v>23</v>
      </c>
      <c r="E45" s="136">
        <f>J45+K45</f>
        <v>288</v>
      </c>
      <c r="F45" s="102">
        <f>E45-Таблица1[[#This Row],[406/1]]</f>
        <v>-71</v>
      </c>
      <c r="G45" s="198">
        <f>E45-Таблица1[[#This Row],[406/2]]</f>
        <v>265</v>
      </c>
      <c r="H45" s="93"/>
      <c r="I45" s="102"/>
      <c r="J45" s="125">
        <v>86</v>
      </c>
      <c r="K45" s="102">
        <v>202</v>
      </c>
    </row>
    <row r="46" spans="1:11" ht="15.75" x14ac:dyDescent="0.25">
      <c r="A46" s="102" t="s">
        <v>293</v>
      </c>
      <c r="B46" s="96" t="s">
        <v>404</v>
      </c>
      <c r="C46" s="5">
        <f>SUMIFS('Журнал Работ'!F:F,'Журнал Работ'!E:E,B46,'Журнал Работ'!C:C,$C$2)</f>
        <v>622</v>
      </c>
      <c r="D46" s="194">
        <f>SUMIFS('Журнал Работ'!F:F,'Журнал Работ'!E:E,B46,'Журнал Работ'!C:C,$D$2)</f>
        <v>0</v>
      </c>
      <c r="E46" s="136">
        <v>1151</v>
      </c>
      <c r="F46" s="102">
        <f>E46-Таблица1[[#This Row],[406/1]]</f>
        <v>529</v>
      </c>
      <c r="G46" s="198">
        <f>E46-Таблица1[[#This Row],[406/2]]</f>
        <v>1151</v>
      </c>
      <c r="H46" s="137" t="s">
        <v>414</v>
      </c>
      <c r="I46" s="102"/>
    </row>
    <row r="47" spans="1:11" ht="15.75" x14ac:dyDescent="0.25">
      <c r="A47" s="102" t="s">
        <v>293</v>
      </c>
      <c r="B47" s="96" t="s">
        <v>432</v>
      </c>
      <c r="C47" s="5">
        <f>SUMIFS('Журнал Работ'!F:F,'Журнал Работ'!E:E,B47,'Журнал Работ'!C:C,$C$2)</f>
        <v>585</v>
      </c>
      <c r="D47" s="194">
        <f>SUMIFS('Журнал Работ'!F:F,'Журнал Работ'!E:E,B47,'Журнал Работ'!C:C,$D$2)</f>
        <v>153</v>
      </c>
      <c r="E47" s="136"/>
      <c r="F47" s="102">
        <f>E47-Таблица1[[#This Row],[406/1]]</f>
        <v>-585</v>
      </c>
      <c r="G47" s="198">
        <f>E47-Таблица1[[#This Row],[406/2]]</f>
        <v>-153</v>
      </c>
      <c r="H47" s="137"/>
      <c r="I47" s="102"/>
    </row>
    <row r="48" spans="1:11" ht="15.75" x14ac:dyDescent="0.25">
      <c r="A48" s="102" t="s">
        <v>293</v>
      </c>
      <c r="B48" s="96" t="s">
        <v>274</v>
      </c>
      <c r="C48" s="5">
        <f>SUMIFS('Журнал Работ'!F:F,'Журнал Работ'!E:E,B48,'Журнал Работ'!C:C,$C$2)</f>
        <v>22</v>
      </c>
      <c r="D48" s="194">
        <f>SUMIFS('Журнал Работ'!F:F,'Журнал Работ'!E:E,B48,'Журнал Работ'!C:C,$D$2)</f>
        <v>0</v>
      </c>
      <c r="E48" s="136"/>
      <c r="F48" s="102">
        <f>E48-Таблица1[[#This Row],[406/1]]</f>
        <v>-22</v>
      </c>
      <c r="G48" s="198">
        <f>E48-Таблица1[[#This Row],[406/2]]</f>
        <v>0</v>
      </c>
      <c r="H48" s="93" t="s">
        <v>288</v>
      </c>
      <c r="I48" s="102"/>
      <c r="J48" s="125"/>
      <c r="K48" s="102"/>
    </row>
    <row r="49" spans="1:11" ht="15.75" x14ac:dyDescent="0.25">
      <c r="A49" s="102" t="s">
        <v>293</v>
      </c>
      <c r="B49" s="98" t="s">
        <v>326</v>
      </c>
      <c r="C49" s="5">
        <f>SUMIFS('Журнал Работ'!F:F,'Журнал Работ'!E:E,B49,'Журнал Работ'!C:C,$C$2)</f>
        <v>295</v>
      </c>
      <c r="D49" s="194">
        <f>SUMIFS('Журнал Работ'!F:F,'Журнал Работ'!E:E,B49,'Журнал Работ'!C:C,$D$2)</f>
        <v>140</v>
      </c>
      <c r="E49" s="136">
        <f t="shared" ref="E49:E60" si="0">J49+K49</f>
        <v>889</v>
      </c>
      <c r="F49" s="102">
        <f>E49-Таблица1[[#This Row],[406/1]]</f>
        <v>594</v>
      </c>
      <c r="G49" s="198">
        <f>E49-Таблица1[[#This Row],[406/2]]</f>
        <v>749</v>
      </c>
      <c r="H49" s="93"/>
      <c r="I49" s="102"/>
      <c r="J49" s="125">
        <v>749</v>
      </c>
      <c r="K49" s="102">
        <v>140</v>
      </c>
    </row>
    <row r="50" spans="1:11" ht="15.75" x14ac:dyDescent="0.25">
      <c r="A50" s="102" t="s">
        <v>293</v>
      </c>
      <c r="B50" s="96" t="s">
        <v>201</v>
      </c>
      <c r="C50" s="5">
        <f>SUMIFS('Журнал Работ'!F:F,'Журнал Работ'!E:E,B50,'Журнал Работ'!C:C,$C$2)</f>
        <v>769</v>
      </c>
      <c r="D50" s="194">
        <f>SUMIFS('Журнал Работ'!F:F,'Журнал Работ'!E:E,B50,'Журнал Работ'!C:C,$D$2)</f>
        <v>191</v>
      </c>
      <c r="E50" s="136">
        <f t="shared" si="0"/>
        <v>1123</v>
      </c>
      <c r="F50" s="102">
        <f>E50-Таблица1[[#This Row],[406/1]]</f>
        <v>354</v>
      </c>
      <c r="G50" s="198">
        <f>E50-Таблица1[[#This Row],[406/2]]</f>
        <v>932</v>
      </c>
      <c r="H50" s="93"/>
      <c r="I50" s="102"/>
      <c r="J50" s="125">
        <v>948</v>
      </c>
      <c r="K50" s="102">
        <v>175</v>
      </c>
    </row>
    <row r="51" spans="1:11" ht="15.75" x14ac:dyDescent="0.25">
      <c r="A51" s="102" t="s">
        <v>293</v>
      </c>
      <c r="B51" s="96" t="s">
        <v>345</v>
      </c>
      <c r="C51" s="5">
        <f>SUMIFS('Журнал Работ'!F:F,'Журнал Работ'!E:E,B51,'Журнал Работ'!C:C,$C$2)</f>
        <v>1185</v>
      </c>
      <c r="D51" s="194">
        <f>SUMIFS('Журнал Работ'!F:F,'Журнал Работ'!E:E,B51,'Журнал Работ'!C:C,$D$2)</f>
        <v>0</v>
      </c>
      <c r="E51" s="136">
        <v>1110</v>
      </c>
      <c r="F51" s="102">
        <f>E51-Таблица1[[#This Row],[406/1]]</f>
        <v>-75</v>
      </c>
      <c r="G51" s="198">
        <f>E51-Таблица1[[#This Row],[406/2]]</f>
        <v>1110</v>
      </c>
      <c r="H51" s="93"/>
      <c r="I51" s="102"/>
      <c r="J51" s="125"/>
      <c r="K51" s="102"/>
    </row>
    <row r="52" spans="1:11" ht="15.75" x14ac:dyDescent="0.25">
      <c r="A52" s="102" t="s">
        <v>293</v>
      </c>
      <c r="B52" s="96" t="s">
        <v>269</v>
      </c>
      <c r="C52" s="5">
        <f>SUMIFS('Журнал Работ'!F:F,'Журнал Работ'!E:E,B52,'Журнал Работ'!C:C,$C$2)</f>
        <v>44</v>
      </c>
      <c r="D52" s="194">
        <f>SUMIFS('Журнал Работ'!F:F,'Журнал Работ'!E:E,B52,'Журнал Работ'!C:C,$D$2)</f>
        <v>0</v>
      </c>
      <c r="E52" s="136">
        <f t="shared" si="0"/>
        <v>42</v>
      </c>
      <c r="F52" s="102">
        <f>E52-Таблица1[[#This Row],[406/1]]</f>
        <v>-2</v>
      </c>
      <c r="G52" s="198">
        <f>E52-Таблица1[[#This Row],[406/2]]</f>
        <v>42</v>
      </c>
      <c r="H52" s="93"/>
      <c r="I52" s="102"/>
      <c r="J52" s="125">
        <v>42</v>
      </c>
      <c r="K52" s="102"/>
    </row>
    <row r="53" spans="1:11" ht="15.75" x14ac:dyDescent="0.25">
      <c r="A53" s="102" t="s">
        <v>293</v>
      </c>
      <c r="B53" s="96" t="s">
        <v>419</v>
      </c>
      <c r="C53" s="5">
        <f>SUMIFS('Журнал Работ'!F:F,'Журнал Работ'!E:E,B53,'Журнал Работ'!C:C,$C$2)</f>
        <v>185</v>
      </c>
      <c r="D53" s="194">
        <f>SUMIFS('Журнал Работ'!F:F,'Журнал Работ'!E:E,B53,'Журнал Работ'!C:C,$D$2)</f>
        <v>0</v>
      </c>
      <c r="E53" s="136">
        <v>200</v>
      </c>
      <c r="F53" s="102">
        <f>E53-Таблица1[[#This Row],[406/1]]</f>
        <v>15</v>
      </c>
      <c r="G53" s="198">
        <f>E53-Таблица1[[#This Row],[406/2]]</f>
        <v>200</v>
      </c>
      <c r="H53" s="93"/>
      <c r="I53" s="102"/>
      <c r="J53" s="130"/>
      <c r="K53" s="130"/>
    </row>
    <row r="54" spans="1:11" ht="15.75" x14ac:dyDescent="0.25">
      <c r="A54" s="102" t="s">
        <v>293</v>
      </c>
      <c r="B54" s="96" t="s">
        <v>476</v>
      </c>
      <c r="C54" s="5">
        <f>SUMIFS('Журнал Работ'!F:F,'Журнал Работ'!E:E,B54,'Журнал Работ'!C:C,$C$2)</f>
        <v>33</v>
      </c>
      <c r="D54" s="194">
        <f>SUMIFS('Журнал Работ'!F:F,'Журнал Работ'!E:E,B54,'Журнал Работ'!C:C,$D$2)</f>
        <v>0</v>
      </c>
      <c r="E54" s="136">
        <v>200</v>
      </c>
      <c r="F54" s="102">
        <f>E54-Таблица1[[#This Row],[406/1]]</f>
        <v>167</v>
      </c>
      <c r="G54" s="198">
        <f>E54-Таблица1[[#This Row],[406/2]]</f>
        <v>200</v>
      </c>
      <c r="H54" s="93"/>
      <c r="I54" s="102"/>
      <c r="J54" s="130"/>
      <c r="K54" s="130"/>
    </row>
    <row r="55" spans="1:11" ht="15.75" x14ac:dyDescent="0.25">
      <c r="A55" s="102" t="s">
        <v>293</v>
      </c>
      <c r="B55" s="123" t="s">
        <v>352</v>
      </c>
      <c r="C55" s="138">
        <f>SUMIFS('Журнал Работ'!F:F,'Журнал Работ'!E:E,B55,'Журнал Работ'!C:C,$C$2)</f>
        <v>239</v>
      </c>
      <c r="D55" s="195">
        <f>SUMIFS('Журнал Работ'!F:F,'Журнал Работ'!E:E,B55,'Журнал Работ'!C:C,$D$2)</f>
        <v>0</v>
      </c>
      <c r="E55" s="139"/>
      <c r="F55" s="127"/>
      <c r="G55" s="199"/>
      <c r="H55" s="93"/>
      <c r="I55" s="102"/>
    </row>
    <row r="56" spans="1:11" ht="15.75" x14ac:dyDescent="0.25">
      <c r="A56" s="102" t="s">
        <v>293</v>
      </c>
      <c r="B56" s="96" t="s">
        <v>278</v>
      </c>
      <c r="C56" s="5">
        <f>SUMIFS('Журнал Работ'!F:F,'Журнал Работ'!E:E,B56,'Журнал Работ'!C:C,$C$2)</f>
        <v>497</v>
      </c>
      <c r="D56" s="194">
        <f>SUMIFS('Журнал Работ'!F:F,'Журнал Работ'!E:E,B56,'Журнал Работ'!C:C,$D$2)</f>
        <v>0</v>
      </c>
      <c r="E56" s="136">
        <f t="shared" si="0"/>
        <v>612</v>
      </c>
      <c r="F56" s="102">
        <f>E56-Таблица1[[#This Row],[406/1]]</f>
        <v>115</v>
      </c>
      <c r="G56" s="198">
        <f>E56-Таблица1[[#This Row],[406/2]]</f>
        <v>612</v>
      </c>
      <c r="H56" s="93"/>
      <c r="I56" s="102"/>
      <c r="J56" s="125">
        <v>612</v>
      </c>
      <c r="K56" s="102"/>
    </row>
    <row r="57" spans="1:11" ht="15.75" x14ac:dyDescent="0.25">
      <c r="A57" s="163" t="s">
        <v>293</v>
      </c>
      <c r="B57" s="123" t="s">
        <v>463</v>
      </c>
      <c r="C57" s="189">
        <f>SUMIFS('Журнал Работ'!F:F,'Журнал Работ'!E:E,B57,'Журнал Работ'!C:C,$C$2)</f>
        <v>163</v>
      </c>
      <c r="D57" s="197">
        <f>SUMIFS('Журнал Работ'!F:F,'Журнал Работ'!E:E,B57,'Журнал Работ'!C:C,$D$2)</f>
        <v>0</v>
      </c>
      <c r="E57" s="139"/>
      <c r="F57" s="127"/>
      <c r="G57" s="200"/>
      <c r="H57"/>
    </row>
    <row r="58" spans="1:11" ht="15.75" x14ac:dyDescent="0.25">
      <c r="A58" s="102" t="s">
        <v>293</v>
      </c>
      <c r="B58" s="96" t="s">
        <v>267</v>
      </c>
      <c r="C58" s="5">
        <f>SUMIFS('Журнал Работ'!F:F,'Журнал Работ'!E:E,B58,'Журнал Работ'!C:C,$C$2)</f>
        <v>44</v>
      </c>
      <c r="D58" s="194">
        <f>SUMIFS('Журнал Работ'!F:F,'Журнал Работ'!E:E,B58,'Журнал Работ'!C:C,$D$2)</f>
        <v>0</v>
      </c>
      <c r="E58" s="136">
        <f t="shared" si="0"/>
        <v>186</v>
      </c>
      <c r="F58" s="102">
        <f>E58-Таблица1[[#This Row],[406/1]]</f>
        <v>142</v>
      </c>
      <c r="G58" s="198">
        <f>E58-Таблица1[[#This Row],[406/2]]</f>
        <v>186</v>
      </c>
      <c r="H58" s="92"/>
      <c r="I58" s="102"/>
      <c r="J58" s="125">
        <v>186</v>
      </c>
      <c r="K58" s="102"/>
    </row>
    <row r="59" spans="1:11" ht="15.75" x14ac:dyDescent="0.25">
      <c r="A59" s="102" t="s">
        <v>293</v>
      </c>
      <c r="B59" s="96" t="s">
        <v>325</v>
      </c>
      <c r="C59" s="5">
        <f>SUMIFS('Журнал Работ'!F:F,'Журнал Работ'!E:E,B59,'Журнал Работ'!C:C,$C$2)</f>
        <v>735</v>
      </c>
      <c r="D59" s="194">
        <f>SUMIFS('Журнал Работ'!F:F,'Журнал Работ'!E:E,B59,'Журнал Работ'!C:C,$D$2)</f>
        <v>0</v>
      </c>
      <c r="E59" s="136">
        <f t="shared" si="0"/>
        <v>749</v>
      </c>
      <c r="F59" s="102">
        <f>E59-Таблица1[[#This Row],[406/1]]</f>
        <v>14</v>
      </c>
      <c r="G59" s="198">
        <f>E59-Таблица1[[#This Row],[406/2]]</f>
        <v>749</v>
      </c>
      <c r="H59" s="92"/>
      <c r="I59" s="102"/>
      <c r="J59" s="125">
        <v>749</v>
      </c>
      <c r="K59" s="102"/>
    </row>
    <row r="60" spans="1:11" ht="15.75" x14ac:dyDescent="0.25">
      <c r="A60" s="102" t="s">
        <v>293</v>
      </c>
      <c r="B60" s="96" t="s">
        <v>217</v>
      </c>
      <c r="C60" s="5">
        <f>SUMIFS('Журнал Работ'!F:F,'Журнал Работ'!E:E,B60,'Журнал Работ'!C:C,$C$2)</f>
        <v>1086</v>
      </c>
      <c r="D60" s="194">
        <f>SUMIFS('Журнал Работ'!F:F,'Журнал Работ'!E:E,B60,'Журнал Работ'!C:C,$D$2)</f>
        <v>1114</v>
      </c>
      <c r="E60" s="136">
        <f t="shared" si="0"/>
        <v>1848</v>
      </c>
      <c r="F60" s="102">
        <f>E60-Таблица1[[#This Row],[406/1]]</f>
        <v>762</v>
      </c>
      <c r="G60" s="198">
        <f>E60-Таблица1[[#This Row],[406/2]]</f>
        <v>734</v>
      </c>
      <c r="H60" s="92" t="s">
        <v>316</v>
      </c>
      <c r="I60" s="102"/>
      <c r="J60" s="125"/>
      <c r="K60" s="102">
        <f>912+936</f>
        <v>1848</v>
      </c>
    </row>
    <row r="61" spans="1:11" ht="15.75" x14ac:dyDescent="0.25">
      <c r="A61" s="102" t="s">
        <v>293</v>
      </c>
      <c r="B61" s="96" t="s">
        <v>41</v>
      </c>
      <c r="C61" s="5">
        <f>SUMIFS('Журнал Работ'!F:F,'Журнал Работ'!E:E,B61,'Журнал Работ'!C:C,$C$2)</f>
        <v>125</v>
      </c>
      <c r="D61" s="194">
        <f>SUMIFS('Журнал Работ'!F:F,'Журнал Работ'!E:E,B61,'Журнал Работ'!C:C,$D$2)</f>
        <v>0</v>
      </c>
      <c r="E61" s="136"/>
      <c r="F61" s="102">
        <f>E61-Таблица1[[#This Row],[406/1]]</f>
        <v>-125</v>
      </c>
      <c r="G61" s="198">
        <f>E61-Таблица1[[#This Row],[406/2]]</f>
        <v>0</v>
      </c>
      <c r="H61" s="92" t="s">
        <v>296</v>
      </c>
      <c r="I61" s="102"/>
      <c r="J61" s="125"/>
      <c r="K61" s="102"/>
    </row>
    <row r="62" spans="1:11" ht="15.75" x14ac:dyDescent="0.25">
      <c r="A62" s="102"/>
      <c r="B62" s="96" t="s">
        <v>108</v>
      </c>
      <c r="C62" s="5">
        <f>SUMIFS('Журнал Работ'!F:F,'Журнал Работ'!E:E,B62,'Журнал Работ'!C:C,$C$2)</f>
        <v>59</v>
      </c>
      <c r="D62" s="194">
        <f>SUMIFS('Журнал Работ'!F:F,'Журнал Работ'!E:E,B62,'Журнал Работ'!C:C,$D$2)</f>
        <v>6</v>
      </c>
      <c r="E62" s="136">
        <f t="shared" ref="E62:E68" si="1">J62+K62</f>
        <v>46</v>
      </c>
      <c r="F62" s="102">
        <f>E62-Таблица1[[#This Row],[406/1]]</f>
        <v>-13</v>
      </c>
      <c r="G62" s="198">
        <f>E62-Таблица1[[#This Row],[406/2]]</f>
        <v>40</v>
      </c>
      <c r="H62" s="93"/>
      <c r="I62" s="102"/>
      <c r="J62" s="125"/>
      <c r="K62" s="102">
        <v>46</v>
      </c>
    </row>
    <row r="63" spans="1:11" ht="15.75" x14ac:dyDescent="0.25">
      <c r="A63" s="102"/>
      <c r="B63" s="96" t="s">
        <v>82</v>
      </c>
      <c r="C63" s="5">
        <f>SUMIFS('Журнал Работ'!F:F,'Журнал Работ'!E:E,B63,'Журнал Работ'!C:C,$C$2)</f>
        <v>65</v>
      </c>
      <c r="D63" s="194">
        <f>SUMIFS('Журнал Работ'!F:F,'Журнал Работ'!E:E,B63,'Журнал Работ'!C:C,$D$2)</f>
        <v>61</v>
      </c>
      <c r="E63" s="136">
        <f t="shared" si="1"/>
        <v>328</v>
      </c>
      <c r="F63" s="102">
        <f>E63-Таблица1[[#This Row],[406/1]]</f>
        <v>263</v>
      </c>
      <c r="G63" s="198">
        <f>E63-Таблица1[[#This Row],[406/2]]</f>
        <v>267</v>
      </c>
      <c r="H63" s="93"/>
      <c r="I63" s="102"/>
      <c r="J63" s="125">
        <v>286</v>
      </c>
      <c r="K63" s="102">
        <v>42</v>
      </c>
    </row>
    <row r="64" spans="1:11" ht="15.75" x14ac:dyDescent="0.25">
      <c r="A64" s="102"/>
      <c r="B64" s="96" t="s">
        <v>83</v>
      </c>
      <c r="C64" s="5">
        <f>SUMIFS('Журнал Работ'!F:F,'Журнал Работ'!E:E,B64,'Журнал Работ'!C:C,$C$2)</f>
        <v>132</v>
      </c>
      <c r="D64" s="194">
        <f>SUMIFS('Журнал Работ'!F:F,'Журнал Работ'!E:E,B64,'Журнал Работ'!C:C,$D$2)</f>
        <v>51</v>
      </c>
      <c r="E64" s="136">
        <f t="shared" si="1"/>
        <v>48</v>
      </c>
      <c r="F64" s="102">
        <f>E64-Таблица1[[#This Row],[406/1]]</f>
        <v>-84</v>
      </c>
      <c r="G64" s="198">
        <f>E64-Таблица1[[#This Row],[406/2]]</f>
        <v>-3</v>
      </c>
      <c r="H64" s="93"/>
      <c r="I64" s="102"/>
      <c r="J64" s="125">
        <v>48</v>
      </c>
      <c r="K64" s="102"/>
    </row>
    <row r="65" spans="1:11" ht="15.75" x14ac:dyDescent="0.25">
      <c r="A65" s="102"/>
      <c r="B65" s="96" t="s">
        <v>85</v>
      </c>
      <c r="C65" s="5">
        <f>SUMIFS('Журнал Работ'!F:F,'Журнал Работ'!E:E,B65,'Журнал Работ'!C:C,$C$2)</f>
        <v>50</v>
      </c>
      <c r="D65" s="194">
        <f>SUMIFS('Журнал Работ'!F:F,'Журнал Работ'!E:E,B65,'Журнал Работ'!C:C,$D$2)</f>
        <v>89</v>
      </c>
      <c r="E65" s="136">
        <f t="shared" si="1"/>
        <v>62</v>
      </c>
      <c r="F65" s="102">
        <f>E65-Таблица1[[#This Row],[406/1]]</f>
        <v>12</v>
      </c>
      <c r="G65" s="198">
        <f>E65-Таблица1[[#This Row],[406/2]]</f>
        <v>-27</v>
      </c>
      <c r="H65" s="93"/>
      <c r="I65" s="102"/>
      <c r="J65" s="125"/>
      <c r="K65" s="102">
        <v>62</v>
      </c>
    </row>
    <row r="66" spans="1:11" ht="15.75" x14ac:dyDescent="0.25">
      <c r="A66" s="102"/>
      <c r="B66" s="96" t="s">
        <v>86</v>
      </c>
      <c r="C66" s="5">
        <f>SUMIFS('Журнал Работ'!F:F,'Журнал Работ'!E:E,B66,'Журнал Работ'!C:C,$C$2)</f>
        <v>0</v>
      </c>
      <c r="D66" s="194">
        <f>SUMIFS('Журнал Работ'!F:F,'Журнал Работ'!E:E,B66,'Журнал Работ'!C:C,$D$2)</f>
        <v>57</v>
      </c>
      <c r="E66" s="136">
        <f t="shared" si="1"/>
        <v>262</v>
      </c>
      <c r="F66" s="102">
        <f>E66-Таблица1[[#This Row],[406/1]]</f>
        <v>262</v>
      </c>
      <c r="G66" s="198">
        <f>E66-Таблица1[[#This Row],[406/2]]</f>
        <v>205</v>
      </c>
      <c r="H66" s="93"/>
      <c r="I66" s="102"/>
      <c r="J66" s="125">
        <v>262</v>
      </c>
      <c r="K66" s="102"/>
    </row>
    <row r="67" spans="1:11" ht="15.75" x14ac:dyDescent="0.25">
      <c r="A67" s="102"/>
      <c r="B67" s="96" t="s">
        <v>84</v>
      </c>
      <c r="C67" s="5">
        <f>SUMIFS('Журнал Работ'!F:F,'Журнал Работ'!E:E,B67,'Журнал Работ'!C:C,$C$2)</f>
        <v>20</v>
      </c>
      <c r="D67" s="194">
        <f>SUMIFS('Журнал Работ'!F:F,'Журнал Работ'!E:E,B67,'Журнал Работ'!C:C,$D$2)</f>
        <v>0</v>
      </c>
      <c r="E67" s="136">
        <f t="shared" si="1"/>
        <v>88</v>
      </c>
      <c r="F67" s="102">
        <f>E67-Таблица1[[#This Row],[406/1]]</f>
        <v>68</v>
      </c>
      <c r="G67" s="198">
        <f>E67-Таблица1[[#This Row],[406/2]]</f>
        <v>88</v>
      </c>
      <c r="H67" s="92"/>
      <c r="I67" s="102"/>
      <c r="J67" s="125"/>
      <c r="K67" s="102">
        <v>88</v>
      </c>
    </row>
    <row r="68" spans="1:11" ht="15.75" x14ac:dyDescent="0.25">
      <c r="A68" s="102"/>
      <c r="B68" s="96" t="s">
        <v>222</v>
      </c>
      <c r="C68" s="5">
        <f>SUMIFS('Журнал Работ'!F:F,'Журнал Работ'!E:E,B68,'Журнал Работ'!C:C,$C$2)</f>
        <v>0</v>
      </c>
      <c r="D68" s="194">
        <f>SUMIFS('Журнал Работ'!F:F,'Журнал Работ'!E:E,B68,'Журнал Работ'!C:C,$D$2)</f>
        <v>3</v>
      </c>
      <c r="E68" s="136">
        <f t="shared" si="1"/>
        <v>7</v>
      </c>
      <c r="F68" s="102">
        <f>E68-Таблица1[[#This Row],[406/1]]</f>
        <v>7</v>
      </c>
      <c r="G68" s="198">
        <f>E68-Таблица1[[#This Row],[406/2]]</f>
        <v>4</v>
      </c>
      <c r="H68" s="93"/>
      <c r="I68" s="102"/>
      <c r="J68" s="125">
        <v>7</v>
      </c>
      <c r="K68" s="102"/>
    </row>
    <row r="69" spans="1:11" ht="15.75" x14ac:dyDescent="0.25">
      <c r="A69" s="102"/>
      <c r="B69" s="96" t="s">
        <v>92</v>
      </c>
      <c r="C69" s="5">
        <f>SUMIFS('Журнал Работ'!F:F,'Журнал Работ'!E:E,B69,'Журнал Работ'!C:C,$C$2)</f>
        <v>80</v>
      </c>
      <c r="D69" s="194">
        <f>SUMIFS('Журнал Работ'!F:F,'Журнал Работ'!E:E,B69,'Журнал Работ'!C:C,$D$2)</f>
        <v>20</v>
      </c>
      <c r="E69" s="136"/>
      <c r="F69" s="102">
        <f>E69-Таблица1[[#This Row],[406/1]]</f>
        <v>-80</v>
      </c>
      <c r="G69" s="198">
        <f>E69-Таблица1[[#This Row],[406/2]]</f>
        <v>-20</v>
      </c>
      <c r="H69" s="92" t="s">
        <v>296</v>
      </c>
      <c r="I69" s="102"/>
      <c r="J69" s="125"/>
      <c r="K69" s="102"/>
    </row>
    <row r="70" spans="1:11" ht="15.75" x14ac:dyDescent="0.25">
      <c r="A70" s="102"/>
      <c r="B70" s="96" t="s">
        <v>107</v>
      </c>
      <c r="C70" s="5">
        <f>SUMIFS('Журнал Работ'!F:F,'Журнал Работ'!E:E,B70,'Журнал Работ'!C:C,$C$2)</f>
        <v>2</v>
      </c>
      <c r="D70" s="194">
        <f>SUMIFS('Журнал Работ'!F:F,'Журнал Работ'!E:E,B70,'Журнал Работ'!C:C,$D$2)</f>
        <v>40</v>
      </c>
      <c r="E70" s="136"/>
      <c r="F70" s="102">
        <f>E70-Таблица1[[#This Row],[406/1]]</f>
        <v>-2</v>
      </c>
      <c r="G70" s="198">
        <f>E70-Таблица1[[#This Row],[406/2]]</f>
        <v>-40</v>
      </c>
      <c r="H70" s="93" t="s">
        <v>285</v>
      </c>
      <c r="I70" s="102"/>
      <c r="J70" s="125"/>
      <c r="K70" s="102"/>
    </row>
    <row r="71" spans="1:11" ht="15.75" x14ac:dyDescent="0.25">
      <c r="A71" s="102"/>
      <c r="B71" s="96" t="s">
        <v>223</v>
      </c>
      <c r="C71" s="5">
        <f>SUMIFS('Журнал Работ'!F:F,'Журнал Работ'!E:E,B71,'Журнал Работ'!C:C,$C$2)</f>
        <v>0</v>
      </c>
      <c r="D71" s="194">
        <f>SUMIFS('Журнал Работ'!F:F,'Журнал Работ'!E:E,B71,'Журнал Работ'!C:C,$D$2)</f>
        <v>7</v>
      </c>
      <c r="E71" s="136"/>
      <c r="F71" s="102">
        <f>E71-Таблица1[[#This Row],[406/1]]</f>
        <v>0</v>
      </c>
      <c r="G71" s="198">
        <f>E71-Таблица1[[#This Row],[406/2]]</f>
        <v>-7</v>
      </c>
      <c r="H71" s="93" t="s">
        <v>285</v>
      </c>
      <c r="I71" s="102"/>
      <c r="J71" s="125"/>
      <c r="K71" s="102"/>
    </row>
    <row r="72" spans="1:11" ht="15.75" x14ac:dyDescent="0.25">
      <c r="A72" s="102" t="s">
        <v>292</v>
      </c>
      <c r="B72" s="96" t="s">
        <v>14</v>
      </c>
      <c r="C72" s="5">
        <f>SUMIFS('Журнал Работ'!F:F,'Журнал Работ'!E:E,B72,'Журнал Работ'!C:C,$C$2)</f>
        <v>28</v>
      </c>
      <c r="D72" s="194">
        <f>SUMIFS('Журнал Работ'!F:F,'Журнал Работ'!E:E,B72,'Журнал Работ'!C:C,$D$2)</f>
        <v>30</v>
      </c>
      <c r="E72" s="136"/>
      <c r="F72" s="102">
        <f>E72-Таблица1[[#This Row],[406/1]]</f>
        <v>-28</v>
      </c>
      <c r="G72" s="198">
        <f>E72-Таблица1[[#This Row],[406/2]]</f>
        <v>-30</v>
      </c>
      <c r="H72" s="92" t="s">
        <v>296</v>
      </c>
      <c r="I72" s="102"/>
      <c r="J72" s="125"/>
      <c r="K72" s="102"/>
    </row>
    <row r="73" spans="1:11" ht="15.75" x14ac:dyDescent="0.25">
      <c r="A73" s="102" t="s">
        <v>292</v>
      </c>
      <c r="B73" s="96" t="s">
        <v>73</v>
      </c>
      <c r="C73" s="5">
        <f>SUMIFS('Журнал Работ'!F:F,'Журнал Работ'!E:E,B73,'Журнал Работ'!C:C,$C$2)</f>
        <v>259</v>
      </c>
      <c r="D73" s="194">
        <f>SUMIFS('Журнал Работ'!F:F,'Журнал Работ'!E:E,B73,'Журнал Работ'!C:C,$D$2)</f>
        <v>200.2</v>
      </c>
      <c r="E73" s="136">
        <f t="shared" ref="E73:E83" si="2">J73+K73</f>
        <v>214</v>
      </c>
      <c r="F73" s="102">
        <f>E73-Таблица1[[#This Row],[406/1]]</f>
        <v>-45</v>
      </c>
      <c r="G73" s="198">
        <f>E73-Таблица1[[#This Row],[406/2]]</f>
        <v>13.800000000000011</v>
      </c>
      <c r="H73" s="93"/>
      <c r="I73" s="102"/>
      <c r="J73" s="125">
        <v>214</v>
      </c>
      <c r="K73" s="102"/>
    </row>
    <row r="74" spans="1:11" ht="15.75" x14ac:dyDescent="0.25">
      <c r="A74" s="102" t="s">
        <v>292</v>
      </c>
      <c r="B74" s="96" t="s">
        <v>88</v>
      </c>
      <c r="C74" s="5">
        <f>SUMIFS('Журнал Работ'!F:F,'Журнал Работ'!E:E,B74,'Журнал Работ'!C:C,$C$2)</f>
        <v>40</v>
      </c>
      <c r="D74" s="194">
        <f>SUMIFS('Журнал Работ'!F:F,'Журнал Работ'!E:E,B74,'Журнал Работ'!C:C,$D$2)</f>
        <v>5</v>
      </c>
      <c r="E74" s="136">
        <f t="shared" si="2"/>
        <v>52</v>
      </c>
      <c r="F74" s="102">
        <f>E74-Таблица1[[#This Row],[406/1]]</f>
        <v>12</v>
      </c>
      <c r="G74" s="198">
        <f>E74-Таблица1[[#This Row],[406/2]]</f>
        <v>47</v>
      </c>
      <c r="H74" s="93"/>
      <c r="I74" s="102"/>
      <c r="J74" s="125">
        <v>52</v>
      </c>
      <c r="K74" s="102"/>
    </row>
    <row r="75" spans="1:11" ht="15.75" x14ac:dyDescent="0.25">
      <c r="A75" s="102" t="s">
        <v>292</v>
      </c>
      <c r="B75" s="96" t="s">
        <v>87</v>
      </c>
      <c r="C75" s="5">
        <f>SUMIFS('Журнал Работ'!F:F,'Журнал Работ'!E:E,B75,'Журнал Работ'!C:C,$C$2)</f>
        <v>88</v>
      </c>
      <c r="D75" s="194">
        <f>SUMIFS('Журнал Работ'!F:F,'Журнал Работ'!E:E,B75,'Журнал Работ'!C:C,$D$2)</f>
        <v>62</v>
      </c>
      <c r="E75" s="136">
        <f t="shared" si="2"/>
        <v>132</v>
      </c>
      <c r="F75" s="102">
        <f>E75-Таблица1[[#This Row],[406/1]]</f>
        <v>44</v>
      </c>
      <c r="G75" s="198">
        <f>E75-Таблица1[[#This Row],[406/2]]</f>
        <v>70</v>
      </c>
      <c r="H75" s="93"/>
      <c r="I75" s="102"/>
      <c r="J75" s="125">
        <v>132</v>
      </c>
      <c r="K75" s="102"/>
    </row>
    <row r="76" spans="1:11" ht="15.75" x14ac:dyDescent="0.25">
      <c r="A76" s="102" t="s">
        <v>292</v>
      </c>
      <c r="B76" s="96" t="s">
        <v>78</v>
      </c>
      <c r="C76" s="5">
        <f>SUMIFS('Журнал Работ'!F:F,'Журнал Работ'!E:E,B76,'Журнал Работ'!C:C,$C$2)</f>
        <v>102.8</v>
      </c>
      <c r="D76" s="194">
        <f>SUMIFS('Журнал Работ'!F:F,'Журнал Работ'!E:E,B76,'Журнал Работ'!C:C,$D$2)</f>
        <v>87</v>
      </c>
      <c r="E76" s="136">
        <f t="shared" si="2"/>
        <v>90</v>
      </c>
      <c r="F76" s="102">
        <f>E76-Таблица1[[#This Row],[406/1]]</f>
        <v>-12.799999999999997</v>
      </c>
      <c r="G76" s="198">
        <f>E76-Таблица1[[#This Row],[406/2]]</f>
        <v>3</v>
      </c>
      <c r="H76" s="93"/>
      <c r="I76" s="102"/>
      <c r="J76" s="125">
        <v>90</v>
      </c>
      <c r="K76" s="102"/>
    </row>
    <row r="77" spans="1:11" ht="15.75" x14ac:dyDescent="0.25">
      <c r="A77" s="102" t="s">
        <v>292</v>
      </c>
      <c r="B77" s="96" t="s">
        <v>317</v>
      </c>
      <c r="C77" s="5">
        <f>SUMIFS('Журнал Работ'!F:F,'Журнал Работ'!E:E,B77,'Журнал Работ'!C:C,$C$2)</f>
        <v>147</v>
      </c>
      <c r="D77" s="194">
        <f>SUMIFS('Журнал Работ'!F:F,'Журнал Работ'!E:E,B77,'Журнал Работ'!C:C,$D$2)</f>
        <v>68</v>
      </c>
      <c r="E77" s="136"/>
      <c r="F77" s="102">
        <f>E77-Таблица1[[#This Row],[406/1]]</f>
        <v>-147</v>
      </c>
      <c r="G77" s="198">
        <f>E77-Таблица1[[#This Row],[406/2]]</f>
        <v>-68</v>
      </c>
      <c r="H77" s="92" t="s">
        <v>318</v>
      </c>
      <c r="I77" s="102"/>
      <c r="J77" s="125"/>
      <c r="K77" s="102"/>
    </row>
    <row r="78" spans="1:11" ht="15.75" x14ac:dyDescent="0.25">
      <c r="A78" s="102" t="s">
        <v>292</v>
      </c>
      <c r="B78" s="96" t="s">
        <v>71</v>
      </c>
      <c r="C78" s="5">
        <f>SUMIFS('Журнал Работ'!F:F,'Журнал Работ'!E:E,B78,'Журнал Работ'!C:C,$C$2)</f>
        <v>81.900000000000006</v>
      </c>
      <c r="D78" s="194">
        <f>SUMIFS('Журнал Работ'!F:F,'Журнал Работ'!E:E,B78,'Журнал Работ'!C:C,$D$2)</f>
        <v>72.5</v>
      </c>
      <c r="E78" s="136">
        <f t="shared" si="2"/>
        <v>90</v>
      </c>
      <c r="F78" s="102">
        <f>E78-Таблица1[[#This Row],[406/1]]</f>
        <v>8.0999999999999943</v>
      </c>
      <c r="G78" s="198">
        <f>E78-Таблица1[[#This Row],[406/2]]</f>
        <v>17.5</v>
      </c>
      <c r="H78" s="93"/>
      <c r="I78" s="102"/>
      <c r="J78" s="125">
        <v>90</v>
      </c>
      <c r="K78" s="102"/>
    </row>
    <row r="79" spans="1:11" ht="15.75" x14ac:dyDescent="0.25">
      <c r="A79" s="102" t="s">
        <v>292</v>
      </c>
      <c r="B79" s="96" t="s">
        <v>70</v>
      </c>
      <c r="C79" s="5">
        <f>SUMIFS('Журнал Работ'!F:F,'Журнал Работ'!E:E,B79,'Журнал Работ'!C:C,$C$2)</f>
        <v>1</v>
      </c>
      <c r="D79" s="194">
        <f>SUMIFS('Журнал Работ'!F:F,'Журнал Работ'!E:E,B79,'Журнал Работ'!C:C,$D$2)</f>
        <v>0</v>
      </c>
      <c r="E79" s="136">
        <f t="shared" si="2"/>
        <v>69</v>
      </c>
      <c r="F79" s="102">
        <f>E79-Таблица1[[#This Row],[406/1]]</f>
        <v>68</v>
      </c>
      <c r="G79" s="198">
        <f>E79-Таблица1[[#This Row],[406/2]]</f>
        <v>69</v>
      </c>
      <c r="H79" s="93"/>
      <c r="I79" s="102"/>
      <c r="J79" s="125">
        <v>69</v>
      </c>
      <c r="K79" s="102"/>
    </row>
    <row r="80" spans="1:11" ht="15.75" x14ac:dyDescent="0.25">
      <c r="A80" s="102" t="s">
        <v>292</v>
      </c>
      <c r="B80" s="96" t="s">
        <v>58</v>
      </c>
      <c r="C80" s="5">
        <f>SUMIFS('Журнал Работ'!F:F,'Журнал Работ'!E:E,B80,'Журнал Работ'!C:C,$C$2)</f>
        <v>601.5</v>
      </c>
      <c r="D80" s="194">
        <f>SUMIFS('Журнал Работ'!F:F,'Журнал Работ'!E:E,B80,'Журнал Работ'!C:C,$D$2)</f>
        <v>397</v>
      </c>
      <c r="E80" s="136">
        <f t="shared" si="2"/>
        <v>737</v>
      </c>
      <c r="F80" s="102">
        <f>E80-Таблица1[[#This Row],[406/1]]</f>
        <v>135.5</v>
      </c>
      <c r="G80" s="198">
        <f>E80-Таблица1[[#This Row],[406/2]]</f>
        <v>340</v>
      </c>
      <c r="H80" s="93"/>
      <c r="I80" s="102"/>
      <c r="J80" s="125"/>
      <c r="K80" s="102">
        <v>737</v>
      </c>
    </row>
    <row r="81" spans="1:11" ht="15.75" x14ac:dyDescent="0.25">
      <c r="A81" s="102" t="s">
        <v>292</v>
      </c>
      <c r="B81" s="96" t="s">
        <v>308</v>
      </c>
      <c r="C81" s="5">
        <f>SUMIFS('Журнал Работ'!F:F,'Журнал Работ'!E:E,B81,'Журнал Работ'!C:C,$C$2)</f>
        <v>208</v>
      </c>
      <c r="D81" s="194">
        <f>SUMIFS('Журнал Работ'!F:F,'Журнал Работ'!E:E,B81,'Журнал Работ'!C:C,$D$2)</f>
        <v>104</v>
      </c>
      <c r="E81" s="136">
        <f t="shared" si="2"/>
        <v>414</v>
      </c>
      <c r="F81" s="102">
        <f>E81-Таблица1[[#This Row],[406/1]]</f>
        <v>206</v>
      </c>
      <c r="G81" s="198">
        <f>E81-Таблица1[[#This Row],[406/2]]</f>
        <v>310</v>
      </c>
      <c r="H81" s="93"/>
      <c r="I81" s="102"/>
      <c r="J81" s="125">
        <v>414</v>
      </c>
      <c r="K81" s="102"/>
    </row>
    <row r="82" spans="1:11" ht="15.75" x14ac:dyDescent="0.25">
      <c r="A82" s="102"/>
      <c r="B82" s="96" t="s">
        <v>260</v>
      </c>
      <c r="C82" s="5">
        <f>SUMIFS('Журнал Работ'!F:F,'Журнал Работ'!E:E,B82,'Журнал Работ'!C:C,$C$2)</f>
        <v>1440</v>
      </c>
      <c r="D82" s="194">
        <f>SUMIFS('Журнал Работ'!F:F,'Журнал Работ'!E:E,B82,'Журнал Работ'!C:C,$D$2)</f>
        <v>80</v>
      </c>
      <c r="E82" s="136">
        <f t="shared" si="2"/>
        <v>599</v>
      </c>
      <c r="F82" s="102">
        <f>E82-Таблица1[[#This Row],[406/1]]</f>
        <v>-841</v>
      </c>
      <c r="G82" s="198">
        <f>E82-Таблица1[[#This Row],[406/2]]</f>
        <v>519</v>
      </c>
      <c r="H82" s="93"/>
      <c r="I82" s="102"/>
      <c r="J82" s="125">
        <v>398</v>
      </c>
      <c r="K82" s="102">
        <v>201</v>
      </c>
    </row>
    <row r="83" spans="1:11" ht="15.75" x14ac:dyDescent="0.25">
      <c r="A83" s="102"/>
      <c r="B83" s="114" t="s">
        <v>199</v>
      </c>
      <c r="C83" s="86">
        <f>SUMIFS('Журнал Работ'!F:F,'Журнал Работ'!E:E,B83,'Журнал Работ'!C:C,$C$2)</f>
        <v>110.50000000000001</v>
      </c>
      <c r="D83" s="194">
        <f>SUMIFS('Журнал Работ'!F:F,'Журнал Работ'!E:E,B83,'Журнал Работ'!C:C,$D$2)</f>
        <v>59.800000000000004</v>
      </c>
      <c r="E83" s="136">
        <f t="shared" si="2"/>
        <v>168.5</v>
      </c>
      <c r="F83" s="102">
        <f>E83-Таблица1[[#This Row],[406/1]]</f>
        <v>57.999999999999986</v>
      </c>
      <c r="G83" s="198">
        <f>E83-Таблица1[[#This Row],[406/2]]</f>
        <v>108.69999999999999</v>
      </c>
      <c r="H83" s="92"/>
      <c r="I83" s="102"/>
      <c r="J83" s="125">
        <v>95</v>
      </c>
      <c r="K83" s="102">
        <v>73.5</v>
      </c>
    </row>
    <row r="84" spans="1:11" ht="15.75" x14ac:dyDescent="0.25">
      <c r="A84" s="102"/>
      <c r="B84" s="96" t="s">
        <v>236</v>
      </c>
      <c r="C84" s="5">
        <f>SUMIFS('Журнал Работ'!F:F,'Журнал Работ'!E:E,B84,'Журнал Работ'!C:C,$C$2)</f>
        <v>0</v>
      </c>
      <c r="D84" s="194">
        <f>SUMIFS('Журнал Работ'!F:F,'Журнал Работ'!E:E,B84,'Журнал Работ'!C:C,$D$2)</f>
        <v>2</v>
      </c>
      <c r="E84" s="136"/>
      <c r="F84" s="102">
        <f>E84-Таблица1[[#This Row],[406/1]]</f>
        <v>0</v>
      </c>
      <c r="G84" s="198">
        <f>E84-Таблица1[[#This Row],[406/2]]</f>
        <v>-2</v>
      </c>
      <c r="H84" s="93"/>
      <c r="I84" s="102"/>
      <c r="J84" s="125"/>
      <c r="K84" s="102"/>
    </row>
    <row r="85" spans="1:11" ht="15.75" x14ac:dyDescent="0.25">
      <c r="A85" s="102"/>
      <c r="B85" s="96" t="s">
        <v>219</v>
      </c>
      <c r="C85" s="5">
        <f>SUMIFS('Журнал Работ'!F:F,'Журнал Работ'!E:E,B85,'Журнал Работ'!C:C,$C$2)</f>
        <v>8</v>
      </c>
      <c r="D85" s="194">
        <f>SUMIFS('Журнал Работ'!F:F,'Журнал Работ'!E:E,B85,'Журнал Работ'!C:C,$D$2)</f>
        <v>10</v>
      </c>
      <c r="E85" s="136"/>
      <c r="F85" s="102">
        <f>E85-Таблица1[[#This Row],[406/1]]</f>
        <v>-8</v>
      </c>
      <c r="G85" s="198">
        <f>E85-Таблица1[[#This Row],[406/2]]</f>
        <v>-10</v>
      </c>
      <c r="H85" s="93"/>
      <c r="I85" s="102"/>
      <c r="J85" s="125"/>
      <c r="K85" s="102"/>
    </row>
    <row r="86" spans="1:11" ht="15.75" x14ac:dyDescent="0.25">
      <c r="A86" s="102"/>
      <c r="B86" s="96" t="s">
        <v>99</v>
      </c>
      <c r="C86" s="5">
        <f>SUMIFS('Журнал Работ'!F:F,'Журнал Работ'!E:E,B86,'Журнал Работ'!C:C,$C$2)</f>
        <v>4</v>
      </c>
      <c r="D86" s="194">
        <f>SUMIFS('Журнал Работ'!F:F,'Журнал Работ'!E:E,B86,'Журнал Работ'!C:C,$D$2)</f>
        <v>13</v>
      </c>
      <c r="E86" s="136"/>
      <c r="F86" s="102">
        <f>E86-Таблица1[[#This Row],[406/1]]</f>
        <v>-4</v>
      </c>
      <c r="G86" s="198">
        <f>E86-Таблица1[[#This Row],[406/2]]</f>
        <v>-13</v>
      </c>
      <c r="H86" s="93"/>
      <c r="I86" s="102"/>
      <c r="J86" s="125"/>
      <c r="K86" s="102"/>
    </row>
    <row r="87" spans="1:11" ht="15.75" x14ac:dyDescent="0.25">
      <c r="A87" s="102"/>
      <c r="B87" s="96" t="s">
        <v>214</v>
      </c>
      <c r="C87" s="5">
        <f>SUMIFS('Журнал Работ'!F:F,'Журнал Работ'!E:E,B87,'Журнал Работ'!C:C,$C$2)</f>
        <v>8</v>
      </c>
      <c r="D87" s="194">
        <f>SUMIFS('Журнал Работ'!F:F,'Журнал Работ'!E:E,B87,'Журнал Работ'!C:C,$D$2)</f>
        <v>10</v>
      </c>
      <c r="E87" s="136"/>
      <c r="F87" s="102">
        <f>E87-Таблица1[[#This Row],[406/1]]</f>
        <v>-8</v>
      </c>
      <c r="G87" s="198">
        <f>E87-Таблица1[[#This Row],[406/2]]</f>
        <v>-10</v>
      </c>
      <c r="H87" s="93"/>
      <c r="I87" s="102"/>
      <c r="J87" s="125"/>
      <c r="K87" s="102"/>
    </row>
    <row r="88" spans="1:11" ht="15.75" x14ac:dyDescent="0.25">
      <c r="A88" s="102" t="s">
        <v>294</v>
      </c>
      <c r="B88" s="96" t="s">
        <v>90</v>
      </c>
      <c r="C88" s="5">
        <f>SUMIFS('Журнал Работ'!F:F,'Журнал Работ'!E:E,B88,'Журнал Работ'!C:C,$C$2)</f>
        <v>1889</v>
      </c>
      <c r="D88" s="194">
        <f>SUMIFS('Журнал Работ'!F:F,'Журнал Работ'!E:E,B88,'Журнал Работ'!C:C,$D$2)</f>
        <v>542.5</v>
      </c>
      <c r="E88" s="136">
        <f>J88+K88</f>
        <v>1377</v>
      </c>
      <c r="F88" s="102">
        <f>E88-Таблица1[[#This Row],[406/1]]</f>
        <v>-512</v>
      </c>
      <c r="G88" s="198">
        <f>E88-Таблица1[[#This Row],[406/2]]</f>
        <v>834.5</v>
      </c>
      <c r="H88" s="93"/>
      <c r="I88" s="102"/>
      <c r="J88" s="125">
        <v>1377</v>
      </c>
      <c r="K88" s="102"/>
    </row>
    <row r="89" spans="1:11" ht="15.75" x14ac:dyDescent="0.25">
      <c r="A89" s="102" t="s">
        <v>294</v>
      </c>
      <c r="B89" s="96" t="s">
        <v>91</v>
      </c>
      <c r="C89" s="5">
        <f>SUMIFS('Журнал Работ'!F:F,'Журнал Работ'!E:E,B89,'Журнал Работ'!C:C,$C$2)</f>
        <v>50</v>
      </c>
      <c r="D89" s="194">
        <f>SUMIFS('Журнал Работ'!F:F,'Журнал Работ'!E:E,B89,'Журнал Работ'!C:C,$D$2)</f>
        <v>32.5</v>
      </c>
      <c r="E89" s="136">
        <f>J89+K89</f>
        <v>57</v>
      </c>
      <c r="F89" s="102">
        <f>E89-Таблица1[[#This Row],[406/1]]</f>
        <v>7</v>
      </c>
      <c r="G89" s="198">
        <f>E89-Таблица1[[#This Row],[406/2]]</f>
        <v>24.5</v>
      </c>
      <c r="H89" s="93"/>
      <c r="I89" s="102"/>
      <c r="J89" s="125">
        <v>57</v>
      </c>
      <c r="K89" s="102"/>
    </row>
    <row r="90" spans="1:11" ht="15.75" x14ac:dyDescent="0.25">
      <c r="A90" s="102" t="s">
        <v>294</v>
      </c>
      <c r="B90" s="96" t="s">
        <v>151</v>
      </c>
      <c r="C90" s="5">
        <f>SUMIFS('Журнал Работ'!F:F,'Журнал Работ'!E:E,B90,'Журнал Работ'!C:C,$C$2)</f>
        <v>466</v>
      </c>
      <c r="D90" s="194">
        <f>SUMIFS('Журнал Работ'!F:F,'Журнал Работ'!E:E,B90,'Журнал Работ'!C:C,$D$2)</f>
        <v>379</v>
      </c>
      <c r="E90" s="136">
        <f>J90+K90</f>
        <v>424</v>
      </c>
      <c r="F90" s="102">
        <f>E90-Таблица1[[#This Row],[406/1]]</f>
        <v>-42</v>
      </c>
      <c r="G90" s="198">
        <f>E90-Таблица1[[#This Row],[406/2]]</f>
        <v>45</v>
      </c>
      <c r="H90" s="93"/>
      <c r="I90" s="102"/>
      <c r="J90" s="125">
        <f>304+120</f>
        <v>424</v>
      </c>
      <c r="K90" s="102"/>
    </row>
    <row r="91" spans="1:11" ht="15.75" x14ac:dyDescent="0.25">
      <c r="A91" s="102" t="s">
        <v>294</v>
      </c>
      <c r="B91" s="96" t="s">
        <v>89</v>
      </c>
      <c r="C91" s="5">
        <f>SUMIFS('Журнал Работ'!F:F,'Журнал Работ'!E:E,B91,'Журнал Работ'!C:C,$C$2)</f>
        <v>180</v>
      </c>
      <c r="D91" s="194">
        <f>SUMIFS('Журнал Работ'!F:F,'Журнал Работ'!E:E,B91,'Журнал Работ'!C:C,$D$2)</f>
        <v>220</v>
      </c>
      <c r="E91" s="136"/>
      <c r="F91" s="102">
        <f>E91-Таблица1[[#This Row],[406/1]]</f>
        <v>-180</v>
      </c>
      <c r="G91" s="198">
        <f>E91-Таблица1[[#This Row],[406/2]]</f>
        <v>-220</v>
      </c>
      <c r="H91" s="92" t="s">
        <v>296</v>
      </c>
      <c r="I91" s="102"/>
      <c r="J91" s="125"/>
      <c r="K91" s="102"/>
    </row>
    <row r="92" spans="1:11" ht="15.75" x14ac:dyDescent="0.25">
      <c r="A92" s="102"/>
      <c r="B92" s="96" t="s">
        <v>96</v>
      </c>
      <c r="C92" s="5">
        <f>SUMIFS('Журнал Работ'!F:F,'Журнал Работ'!E:E,B92,'Журнал Работ'!C:C,$C$2)</f>
        <v>140</v>
      </c>
      <c r="D92" s="194">
        <f>SUMIFS('Журнал Работ'!F:F,'Журнал Работ'!E:E,B92,'Журнал Работ'!C:C,$D$2)</f>
        <v>97</v>
      </c>
      <c r="E92" s="136"/>
      <c r="F92" s="102">
        <f>E92-Таблица1[[#This Row],[406/1]]</f>
        <v>-140</v>
      </c>
      <c r="G92" s="198">
        <f>E92-Таблица1[[#This Row],[406/2]]</f>
        <v>-97</v>
      </c>
      <c r="H92" s="93"/>
      <c r="I92" s="102"/>
      <c r="J92" s="125"/>
      <c r="K92" s="102"/>
    </row>
    <row r="93" spans="1:11" ht="15.75" x14ac:dyDescent="0.25">
      <c r="A93" s="102"/>
      <c r="B93" s="96" t="s">
        <v>93</v>
      </c>
      <c r="C93" s="5">
        <f>SUMIFS('Журнал Работ'!F:F,'Журнал Работ'!E:E,B93,'Журнал Работ'!C:C,$C$2)</f>
        <v>229</v>
      </c>
      <c r="D93" s="194">
        <f>SUMIFS('Журнал Работ'!F:F,'Журнал Работ'!E:E,B93,'Журнал Работ'!C:C,$D$2)</f>
        <v>171</v>
      </c>
      <c r="E93" s="136">
        <v>136</v>
      </c>
      <c r="F93" s="102">
        <f>E93-Таблица1[[#This Row],[406/1]]</f>
        <v>-93</v>
      </c>
      <c r="G93" s="198">
        <f>E93-Таблица1[[#This Row],[406/2]]</f>
        <v>-35</v>
      </c>
      <c r="H93" s="93"/>
      <c r="I93" s="102"/>
      <c r="J93" s="125"/>
      <c r="K93" s="102"/>
    </row>
    <row r="94" spans="1:11" ht="15.75" x14ac:dyDescent="0.25">
      <c r="A94" s="102" t="s">
        <v>291</v>
      </c>
      <c r="B94" s="96" t="s">
        <v>33</v>
      </c>
      <c r="C94" s="5">
        <f>SUMIFS('Журнал Работ'!F:F,'Журнал Работ'!E:E,B94,'Журнал Работ'!C:C,$C$2)</f>
        <v>0</v>
      </c>
      <c r="D94" s="194">
        <f>SUMIFS('Журнал Работ'!F:F,'Журнал Работ'!E:E,B94,'Журнал Работ'!C:C,$D$2)</f>
        <v>7</v>
      </c>
      <c r="E94" s="136"/>
      <c r="F94" s="102">
        <f>E94-Таблица1[[#This Row],[406/1]]</f>
        <v>0</v>
      </c>
      <c r="G94" s="198">
        <f>E94-Таблица1[[#This Row],[406/2]]</f>
        <v>-7</v>
      </c>
      <c r="H94" s="93"/>
      <c r="I94" s="102"/>
      <c r="J94" s="125"/>
      <c r="K94" s="102"/>
    </row>
    <row r="95" spans="1:11" ht="15.75" x14ac:dyDescent="0.25">
      <c r="A95" s="102" t="s">
        <v>291</v>
      </c>
      <c r="B95" s="96" t="s">
        <v>205</v>
      </c>
      <c r="C95" s="5">
        <f>SUMIFS('Журнал Работ'!F:F,'Журнал Работ'!E:E,B95,'Журнал Работ'!C:C,$C$2)</f>
        <v>90</v>
      </c>
      <c r="D95" s="194">
        <f>SUMIFS('Журнал Работ'!F:F,'Журнал Работ'!E:E,B95,'Журнал Работ'!C:C,$D$2)</f>
        <v>76</v>
      </c>
      <c r="E95" s="136">
        <f>J95+K95</f>
        <v>96</v>
      </c>
      <c r="F95" s="102">
        <f>E95-Таблица1[[#This Row],[406/1]]</f>
        <v>6</v>
      </c>
      <c r="G95" s="198">
        <f>E95-Таблица1[[#This Row],[406/2]]</f>
        <v>20</v>
      </c>
      <c r="H95" s="93"/>
      <c r="I95" s="102"/>
      <c r="J95" s="125"/>
      <c r="K95" s="102">
        <v>96</v>
      </c>
    </row>
    <row r="96" spans="1:11" ht="15.75" x14ac:dyDescent="0.25">
      <c r="A96" s="102" t="s">
        <v>291</v>
      </c>
      <c r="B96" s="96" t="s">
        <v>220</v>
      </c>
      <c r="C96" s="5">
        <f>SUMIFS('Журнал Работ'!F:F,'Журнал Работ'!E:E,B96,'Журнал Работ'!C:C,$C$2)</f>
        <v>17</v>
      </c>
      <c r="D96" s="194">
        <f>SUMIFS('Журнал Работ'!F:F,'Журнал Работ'!E:E,B96,'Журнал Работ'!C:C,$D$2)</f>
        <v>10</v>
      </c>
      <c r="E96" s="136"/>
      <c r="F96" s="102">
        <f>E96-Таблица1[[#This Row],[406/1]]</f>
        <v>-17</v>
      </c>
      <c r="G96" s="198">
        <f>E96-Таблица1[[#This Row],[406/2]]</f>
        <v>-10</v>
      </c>
      <c r="H96" s="93"/>
      <c r="I96" s="102"/>
      <c r="J96" s="125"/>
      <c r="K96" s="102"/>
    </row>
    <row r="97" spans="1:11" ht="15.75" x14ac:dyDescent="0.25">
      <c r="A97" s="102" t="s">
        <v>291</v>
      </c>
      <c r="B97" s="96" t="s">
        <v>25</v>
      </c>
      <c r="C97" s="5">
        <f>SUMIFS('Журнал Работ'!F:F,'Журнал Работ'!E:E,B97,'Журнал Работ'!C:C,$C$2)</f>
        <v>5</v>
      </c>
      <c r="D97" s="194">
        <f>SUMIFS('Журнал Работ'!F:F,'Журнал Работ'!E:E,B97,'Журнал Работ'!C:C,$D$2)</f>
        <v>0</v>
      </c>
      <c r="E97" s="136"/>
      <c r="F97" s="102">
        <f>E97-Таблица1[[#This Row],[406/1]]</f>
        <v>-5</v>
      </c>
      <c r="G97" s="198">
        <f>E97-Таблица1[[#This Row],[406/2]]</f>
        <v>0</v>
      </c>
      <c r="H97" s="93"/>
      <c r="I97" s="102"/>
      <c r="J97" s="125"/>
      <c r="K97" s="102"/>
    </row>
    <row r="98" spans="1:11" ht="15.75" x14ac:dyDescent="0.25">
      <c r="A98" s="102" t="s">
        <v>291</v>
      </c>
      <c r="B98" s="96" t="s">
        <v>24</v>
      </c>
      <c r="C98" s="5">
        <f>SUMIFS('Журнал Работ'!F:F,'Журнал Работ'!E:E,B98,'Журнал Работ'!C:C,$C$2)</f>
        <v>2</v>
      </c>
      <c r="D98" s="194">
        <f>SUMIFS('Журнал Работ'!F:F,'Журнал Работ'!E:E,B98,'Журнал Работ'!C:C,$D$2)</f>
        <v>0</v>
      </c>
      <c r="E98" s="136"/>
      <c r="F98" s="102">
        <f>E98-Таблица1[[#This Row],[406/1]]</f>
        <v>-2</v>
      </c>
      <c r="G98" s="198">
        <f>E98-Таблица1[[#This Row],[406/2]]</f>
        <v>0</v>
      </c>
      <c r="H98" s="93"/>
      <c r="I98" s="102"/>
      <c r="J98" s="125"/>
      <c r="K98" s="102"/>
    </row>
    <row r="99" spans="1:11" ht="15.75" x14ac:dyDescent="0.25">
      <c r="A99" s="102" t="s">
        <v>291</v>
      </c>
      <c r="B99" s="96" t="s">
        <v>23</v>
      </c>
      <c r="C99" s="5">
        <f>SUMIFS('Журнал Работ'!F:F,'Журнал Работ'!E:E,B99,'Журнал Работ'!C:C,$C$2)</f>
        <v>89</v>
      </c>
      <c r="D99" s="194">
        <f>SUMIFS('Журнал Работ'!F:F,'Журнал Работ'!E:E,B99,'Журнал Работ'!C:C,$D$2)</f>
        <v>0</v>
      </c>
      <c r="E99" s="136">
        <f>J99+K99</f>
        <v>87</v>
      </c>
      <c r="F99" s="102">
        <f>E99-Таблица1[[#This Row],[406/1]]</f>
        <v>-2</v>
      </c>
      <c r="G99" s="198">
        <f>E99-Таблица1[[#This Row],[406/2]]</f>
        <v>87</v>
      </c>
      <c r="H99" s="92" t="s">
        <v>349</v>
      </c>
      <c r="I99" s="102"/>
      <c r="J99" s="125"/>
      <c r="K99" s="102">
        <f>69+18</f>
        <v>87</v>
      </c>
    </row>
    <row r="100" spans="1:11" ht="15.75" x14ac:dyDescent="0.25">
      <c r="A100" s="102" t="s">
        <v>291</v>
      </c>
      <c r="B100" s="96" t="s">
        <v>29</v>
      </c>
      <c r="C100" s="5">
        <f>SUMIFS('Журнал Работ'!F:F,'Журнал Работ'!E:E,B100,'Журнал Работ'!C:C,$C$2)</f>
        <v>10</v>
      </c>
      <c r="D100" s="194">
        <f>SUMIFS('Журнал Работ'!F:F,'Журнал Работ'!E:E,B100,'Журнал Работ'!C:C,$D$2)</f>
        <v>0</v>
      </c>
      <c r="E100" s="136"/>
      <c r="F100" s="102">
        <f>E100-Таблица1[[#This Row],[406/1]]</f>
        <v>-10</v>
      </c>
      <c r="G100" s="198">
        <f>E100-Таблица1[[#This Row],[406/2]]</f>
        <v>0</v>
      </c>
      <c r="H100" s="93"/>
      <c r="I100" s="102"/>
      <c r="J100" s="125"/>
      <c r="K100" s="102"/>
    </row>
    <row r="101" spans="1:11" ht="15.75" x14ac:dyDescent="0.25">
      <c r="A101" s="102" t="s">
        <v>291</v>
      </c>
      <c r="B101" s="96" t="s">
        <v>79</v>
      </c>
      <c r="C101" s="5">
        <f>SUMIFS('Журнал Работ'!F:F,'Журнал Работ'!E:E,B101,'Журнал Работ'!C:C,$C$2)</f>
        <v>61</v>
      </c>
      <c r="D101" s="194">
        <f>SUMIFS('Журнал Работ'!F:F,'Журнал Работ'!E:E,B101,'Журнал Работ'!C:C,$D$2)</f>
        <v>99</v>
      </c>
      <c r="E101" s="136"/>
      <c r="F101" s="102">
        <f>E101-Таблица1[[#This Row],[406/1]]</f>
        <v>-61</v>
      </c>
      <c r="G101" s="198">
        <f>E101-Таблица1[[#This Row],[406/2]]</f>
        <v>-99</v>
      </c>
      <c r="H101" s="92" t="s">
        <v>296</v>
      </c>
      <c r="I101" s="102"/>
      <c r="J101" s="125"/>
      <c r="K101" s="102"/>
    </row>
    <row r="102" spans="1:11" ht="15.75" x14ac:dyDescent="0.25">
      <c r="A102" s="102"/>
      <c r="B102" s="96" t="s">
        <v>242</v>
      </c>
      <c r="C102" s="5">
        <f>SUMIFS('Журнал Работ'!F:F,'Журнал Работ'!E:E,B102,'Журнал Работ'!C:C,$C$2)</f>
        <v>16</v>
      </c>
      <c r="D102" s="194">
        <f>SUMIFS('Журнал Работ'!F:F,'Журнал Работ'!E:E,B102,'Журнал Работ'!C:C,$D$2)</f>
        <v>94</v>
      </c>
      <c r="E102" s="136"/>
      <c r="F102" s="102">
        <f>E102-Таблица1[[#This Row],[406/1]]</f>
        <v>-16</v>
      </c>
      <c r="G102" s="198">
        <f>E102-Таблица1[[#This Row],[406/2]]</f>
        <v>-94</v>
      </c>
      <c r="H102" s="93"/>
      <c r="I102" s="102"/>
      <c r="J102" s="125"/>
      <c r="K102" s="102"/>
    </row>
    <row r="103" spans="1:11" ht="15.75" x14ac:dyDescent="0.25">
      <c r="A103" s="102"/>
      <c r="B103" s="96" t="s">
        <v>241</v>
      </c>
      <c r="C103" s="5">
        <f>SUMIFS('Журнал Работ'!F:F,'Журнал Работ'!E:E,B103,'Журнал Работ'!C:C,$C$2)</f>
        <v>10</v>
      </c>
      <c r="D103" s="194">
        <f>SUMIFS('Журнал Работ'!F:F,'Журнал Работ'!E:E,B103,'Журнал Работ'!C:C,$D$2)</f>
        <v>134</v>
      </c>
      <c r="E103" s="136"/>
      <c r="F103" s="102">
        <f>E103-Таблица1[[#This Row],[406/1]]</f>
        <v>-10</v>
      </c>
      <c r="G103" s="198">
        <f>E103-Таблица1[[#This Row],[406/2]]</f>
        <v>-134</v>
      </c>
      <c r="H103" s="93"/>
      <c r="I103" s="102"/>
      <c r="J103" s="125"/>
      <c r="K103" s="102"/>
    </row>
    <row r="104" spans="1:11" ht="15.75" x14ac:dyDescent="0.25">
      <c r="A104" s="102"/>
      <c r="B104" s="96" t="s">
        <v>456</v>
      </c>
      <c r="C104" s="5">
        <f>SUMIFS('Журнал Работ'!F:F,'Журнал Работ'!E:E,B104,'Журнал Работ'!C:C,$C$2)</f>
        <v>3107</v>
      </c>
      <c r="D104" s="194">
        <f>SUMIFS('Журнал Работ'!F:F,'Журнал Работ'!E:E,B104,'Журнал Работ'!C:C,$D$2)</f>
        <v>1252</v>
      </c>
      <c r="E104" s="136">
        <v>2868</v>
      </c>
      <c r="F104" s="102">
        <f>E104-Таблица1[[#This Row],[406/1]]</f>
        <v>-239</v>
      </c>
      <c r="G104" s="198">
        <f>E104-Таблица1[[#This Row],[406/2]]</f>
        <v>1616</v>
      </c>
      <c r="H104" s="93" t="s">
        <v>343</v>
      </c>
      <c r="I104" s="102"/>
      <c r="J104" s="125">
        <v>1434</v>
      </c>
      <c r="K104" s="102"/>
    </row>
    <row r="105" spans="1:11" ht="15.75" x14ac:dyDescent="0.25">
      <c r="A105" s="102"/>
      <c r="B105" s="96" t="s">
        <v>112</v>
      </c>
      <c r="C105" s="5">
        <f>SUMIFS('Журнал Работ'!F:F,'Журнал Работ'!E:E,B105,'Журнал Работ'!C:C,$C$2)</f>
        <v>97</v>
      </c>
      <c r="D105" s="194">
        <f>SUMIFS('Журнал Работ'!F:F,'Журнал Работ'!E:E,B105,'Журнал Работ'!C:C,$D$2)</f>
        <v>50</v>
      </c>
      <c r="E105" s="136">
        <f>J105+K105</f>
        <v>108</v>
      </c>
      <c r="F105" s="102">
        <f>E105-Таблица1[[#This Row],[406/1]]</f>
        <v>11</v>
      </c>
      <c r="G105" s="198">
        <f>E105-Таблица1[[#This Row],[406/2]]</f>
        <v>58</v>
      </c>
      <c r="H105" s="93"/>
      <c r="I105" s="102"/>
      <c r="J105" s="125">
        <v>108</v>
      </c>
      <c r="K105" s="102"/>
    </row>
    <row r="106" spans="1:11" ht="15.75" x14ac:dyDescent="0.25">
      <c r="A106" s="102"/>
      <c r="B106" s="96" t="s">
        <v>208</v>
      </c>
      <c r="C106" s="5">
        <f>SUMIFS('Журнал Работ'!F:F,'Журнал Работ'!E:E,B106,'Журнал Работ'!C:C,$C$2)</f>
        <v>42</v>
      </c>
      <c r="D106" s="194">
        <f>SUMIFS('Журнал Работ'!F:F,'Журнал Работ'!E:E,B106,'Журнал Работ'!C:C,$D$2)</f>
        <v>70</v>
      </c>
      <c r="E106" s="136"/>
      <c r="F106" s="102">
        <f>E106-Таблица1[[#This Row],[406/1]]</f>
        <v>-42</v>
      </c>
      <c r="G106" s="198">
        <f>E106-Таблица1[[#This Row],[406/2]]</f>
        <v>-70</v>
      </c>
      <c r="H106" s="93"/>
      <c r="I106" s="102"/>
      <c r="J106" s="125"/>
      <c r="K106" s="102"/>
    </row>
    <row r="107" spans="1:11" ht="15.75" x14ac:dyDescent="0.25">
      <c r="A107" s="102"/>
      <c r="B107" s="114" t="s">
        <v>310</v>
      </c>
      <c r="C107" s="86">
        <f>SUMIFS('Журнал Работ'!F:F,'Журнал Работ'!E:E,B107,'Журнал Работ'!C:C,$C$2)</f>
        <v>23.4</v>
      </c>
      <c r="D107" s="194">
        <f>SUMIFS('Журнал Работ'!F:F,'Журнал Работ'!E:E,B107,'Журнал Работ'!C:C,$D$2)</f>
        <v>22.8</v>
      </c>
      <c r="E107" s="136"/>
      <c r="F107" s="102">
        <f>E107-Таблица1[[#This Row],[406/1]]</f>
        <v>-23.4</v>
      </c>
      <c r="G107" s="198">
        <f>E107-Таблица1[[#This Row],[406/2]]</f>
        <v>-22.8</v>
      </c>
      <c r="H107" s="92"/>
      <c r="I107" s="102"/>
      <c r="J107" s="125"/>
      <c r="K107" s="102"/>
    </row>
    <row r="108" spans="1:11" ht="15.75" x14ac:dyDescent="0.25">
      <c r="A108" s="102"/>
      <c r="B108" s="96" t="s">
        <v>309</v>
      </c>
      <c r="C108" s="5">
        <f>SUMIFS('Журнал Работ'!F:F,'Журнал Работ'!E:E,B108,'Журнал Работ'!C:C,$C$2)</f>
        <v>0</v>
      </c>
      <c r="D108" s="194">
        <f>SUMIFS('Журнал Работ'!F:F,'Журнал Работ'!E:E,B108,'Журнал Работ'!C:C,$D$2)</f>
        <v>30</v>
      </c>
      <c r="E108" s="136"/>
      <c r="F108" s="102">
        <f>E108-Таблица1[[#This Row],[406/1]]</f>
        <v>0</v>
      </c>
      <c r="G108" s="198">
        <f>E108-Таблица1[[#This Row],[406/2]]</f>
        <v>-30</v>
      </c>
      <c r="H108" s="93"/>
      <c r="I108" s="102"/>
      <c r="J108" s="125"/>
      <c r="K108" s="102"/>
    </row>
    <row r="109" spans="1:11" ht="15.75" x14ac:dyDescent="0.25">
      <c r="A109" s="102"/>
      <c r="B109" s="96" t="s">
        <v>35</v>
      </c>
      <c r="C109" s="5">
        <f>SUMIFS('Журнал Работ'!F:F,'Журнал Работ'!E:E,B109,'Журнал Работ'!C:C,$C$2)</f>
        <v>447</v>
      </c>
      <c r="D109" s="194">
        <f>SUMIFS('Журнал Работ'!F:F,'Журнал Работ'!E:E,B109,'Журнал Работ'!C:C,$D$2)</f>
        <v>275.5</v>
      </c>
      <c r="E109" s="136">
        <f>J109+K109</f>
        <v>1054</v>
      </c>
      <c r="F109" s="102">
        <f>E109-Таблица1[[#This Row],[406/1]]</f>
        <v>607</v>
      </c>
      <c r="G109" s="198">
        <f>E109-Таблица1[[#This Row],[406/2]]</f>
        <v>778.5</v>
      </c>
      <c r="H109" s="93"/>
      <c r="I109" s="102"/>
      <c r="J109" s="125"/>
      <c r="K109" s="102">
        <v>1054</v>
      </c>
    </row>
    <row r="110" spans="1:11" ht="15.75" x14ac:dyDescent="0.25">
      <c r="A110" s="102"/>
      <c r="B110" s="96" t="s">
        <v>147</v>
      </c>
      <c r="C110" s="5">
        <f>SUMIFS('Журнал Работ'!F:F,'Журнал Работ'!E:E,B110,'Журнал Работ'!C:C,$C$2)</f>
        <v>624</v>
      </c>
      <c r="D110" s="194">
        <f>SUMIFS('Журнал Работ'!F:F,'Журнал Работ'!E:E,B110,'Журнал Работ'!C:C,$D$2)</f>
        <v>590.59999999999991</v>
      </c>
      <c r="E110" s="136">
        <f>J110+K110</f>
        <v>77</v>
      </c>
      <c r="F110" s="102">
        <f>E110-Таблица1[[#This Row],[406/1]]</f>
        <v>-547</v>
      </c>
      <c r="G110" s="198">
        <f>E110-Таблица1[[#This Row],[406/2]]</f>
        <v>-513.59999999999991</v>
      </c>
      <c r="H110" s="93"/>
      <c r="I110" s="102"/>
      <c r="J110" s="125">
        <v>60</v>
      </c>
      <c r="K110" s="102">
        <v>17</v>
      </c>
    </row>
    <row r="111" spans="1:11" ht="15.75" x14ac:dyDescent="0.25">
      <c r="A111" s="102"/>
      <c r="B111" s="96" t="s">
        <v>110</v>
      </c>
      <c r="C111" s="5">
        <f>SUMIFS('Журнал Работ'!F:F,'Журнал Работ'!E:E,B111,'Журнал Работ'!C:C,$C$2)</f>
        <v>153.5</v>
      </c>
      <c r="D111" s="194">
        <f>SUMIFS('Журнал Работ'!F:F,'Журнал Работ'!E:E,B111,'Журнал Работ'!C:C,$D$2)</f>
        <v>61.099999999999994</v>
      </c>
      <c r="E111" s="136">
        <f>J111+K111</f>
        <v>1147.5999999999999</v>
      </c>
      <c r="F111" s="102">
        <f>E111-Таблица1[[#This Row],[406/1]]</f>
        <v>994.09999999999991</v>
      </c>
      <c r="G111" s="198">
        <f>E111-Таблица1[[#This Row],[406/2]]</f>
        <v>1086.5</v>
      </c>
      <c r="H111" s="93"/>
      <c r="I111" s="102"/>
      <c r="J111" s="125">
        <v>200</v>
      </c>
      <c r="K111" s="102">
        <v>947.6</v>
      </c>
    </row>
    <row r="112" spans="1:11" ht="15.75" x14ac:dyDescent="0.25">
      <c r="A112" s="102"/>
      <c r="B112" s="96" t="s">
        <v>283</v>
      </c>
      <c r="C112" s="5">
        <f>SUMIFS('Журнал Работ'!F:F,'Журнал Работ'!E:E,B112,'Журнал Работ'!C:C,$C$2)</f>
        <v>959</v>
      </c>
      <c r="D112" s="194">
        <f>SUMIFS('Журнал Работ'!F:F,'Журнал Работ'!E:E,B112,'Журнал Работ'!C:C,$D$2)</f>
        <v>1082</v>
      </c>
      <c r="E112" s="136"/>
      <c r="F112" s="102">
        <f>E112-Таблица1[[#This Row],[406/1]]</f>
        <v>-959</v>
      </c>
      <c r="G112" s="198">
        <f>E112-Таблица1[[#This Row],[406/2]]</f>
        <v>-1082</v>
      </c>
      <c r="H112" s="93"/>
      <c r="I112" s="102"/>
      <c r="J112" s="125"/>
      <c r="K112" s="102"/>
    </row>
    <row r="113" spans="1:11" ht="15.75" x14ac:dyDescent="0.25">
      <c r="A113" s="102"/>
      <c r="B113" s="96" t="s">
        <v>213</v>
      </c>
      <c r="C113" s="5">
        <f>SUMIFS('Журнал Работ'!F:F,'Журнал Работ'!E:E,B113,'Журнал Работ'!C:C,$C$2)</f>
        <v>86</v>
      </c>
      <c r="D113" s="194">
        <f>SUMIFS('Журнал Работ'!F:F,'Журнал Работ'!E:E,B113,'Журнал Работ'!C:C,$D$2)</f>
        <v>7</v>
      </c>
      <c r="E113" s="136"/>
      <c r="F113" s="102">
        <f>E113-Таблица1[[#This Row],[406/1]]</f>
        <v>-86</v>
      </c>
      <c r="G113" s="198">
        <f>E113-Таблица1[[#This Row],[406/2]]</f>
        <v>-7</v>
      </c>
      <c r="H113" s="93" t="s">
        <v>285</v>
      </c>
      <c r="I113" s="102"/>
      <c r="J113" s="125"/>
      <c r="K113" s="102"/>
    </row>
    <row r="114" spans="1:11" ht="15.75" x14ac:dyDescent="0.25">
      <c r="A114" s="102"/>
      <c r="B114" s="96" t="s">
        <v>94</v>
      </c>
      <c r="C114" s="5">
        <f>SUMIFS('Журнал Работ'!F:F,'Журнал Работ'!E:E,B114,'Журнал Работ'!C:C,$C$2)</f>
        <v>244</v>
      </c>
      <c r="D114" s="194">
        <f>SUMIFS('Журнал Работ'!F:F,'Журнал Работ'!E:E,B114,'Журнал Работ'!C:C,$D$2)</f>
        <v>104</v>
      </c>
      <c r="E114" s="136"/>
      <c r="F114" s="102">
        <f>E114-Таблица1[[#This Row],[406/1]]</f>
        <v>-244</v>
      </c>
      <c r="G114" s="198">
        <f>E114-Таблица1[[#This Row],[406/2]]</f>
        <v>-104</v>
      </c>
      <c r="H114" s="93" t="s">
        <v>285</v>
      </c>
      <c r="I114" s="102"/>
      <c r="J114" s="125"/>
      <c r="K114" s="102"/>
    </row>
    <row r="115" spans="1:11" ht="15.75" x14ac:dyDescent="0.25">
      <c r="A115" s="102"/>
      <c r="B115" s="96" t="s">
        <v>216</v>
      </c>
      <c r="C115" s="5">
        <f>SUMIFS('Журнал Работ'!F:F,'Журнал Работ'!E:E,B115,'Журнал Работ'!C:C,$C$2)</f>
        <v>86</v>
      </c>
      <c r="D115" s="194">
        <f>SUMIFS('Журнал Работ'!F:F,'Журнал Работ'!E:E,B115,'Журнал Работ'!C:C,$D$2)</f>
        <v>50</v>
      </c>
      <c r="E115" s="136"/>
      <c r="F115" s="102">
        <f>E115-Таблица1[[#This Row],[406/1]]</f>
        <v>-86</v>
      </c>
      <c r="G115" s="198">
        <f>E115-Таблица1[[#This Row],[406/2]]</f>
        <v>-50</v>
      </c>
      <c r="H115" s="93" t="s">
        <v>285</v>
      </c>
      <c r="I115" s="102"/>
      <c r="J115" s="125"/>
      <c r="K115" s="102"/>
    </row>
    <row r="116" spans="1:11" ht="15.75" x14ac:dyDescent="0.25">
      <c r="A116" s="102"/>
      <c r="B116" s="96" t="s">
        <v>97</v>
      </c>
      <c r="C116" s="5">
        <f>SUMIFS('Журнал Работ'!F:F,'Журнал Работ'!E:E,B116,'Журнал Работ'!C:C,$C$2)</f>
        <v>172</v>
      </c>
      <c r="D116" s="194">
        <f>SUMIFS('Журнал Работ'!F:F,'Журнал Работ'!E:E,B116,'Журнал Работ'!C:C,$D$2)</f>
        <v>65</v>
      </c>
      <c r="E116" s="136"/>
      <c r="F116" s="102">
        <f>E116-Таблица1[[#This Row],[406/1]]</f>
        <v>-172</v>
      </c>
      <c r="G116" s="198">
        <f>E116-Таблица1[[#This Row],[406/2]]</f>
        <v>-65</v>
      </c>
      <c r="H116" s="93" t="s">
        <v>285</v>
      </c>
      <c r="I116" s="102"/>
      <c r="J116" s="125"/>
      <c r="K116" s="102"/>
    </row>
    <row r="117" spans="1:11" ht="15.75" x14ac:dyDescent="0.25">
      <c r="A117" s="102"/>
      <c r="B117" s="96" t="s">
        <v>65</v>
      </c>
      <c r="C117" s="5">
        <f>SUMIFS('Журнал Работ'!F:F,'Журнал Работ'!E:E,B117,'Журнал Работ'!C:C,$C$2)</f>
        <v>0</v>
      </c>
      <c r="D117" s="194">
        <f>SUMIFS('Журнал Работ'!F:F,'Журнал Работ'!E:E,B117,'Журнал Работ'!C:C,$D$2)</f>
        <v>9</v>
      </c>
      <c r="E117" s="136"/>
      <c r="F117" s="102">
        <f>E117-Таблица1[[#This Row],[406/1]]</f>
        <v>0</v>
      </c>
      <c r="G117" s="198">
        <f>E117-Таблица1[[#This Row],[406/2]]</f>
        <v>-9</v>
      </c>
      <c r="H117" s="93" t="s">
        <v>285</v>
      </c>
      <c r="I117" s="102"/>
      <c r="J117" s="125"/>
      <c r="K117" s="102"/>
    </row>
    <row r="118" spans="1:11" ht="15.75" x14ac:dyDescent="0.25">
      <c r="A118" s="102"/>
      <c r="B118" s="96" t="s">
        <v>21</v>
      </c>
      <c r="C118" s="5">
        <f>SUMIFS('Журнал Работ'!F:F,'Журнал Работ'!E:E,B118,'Журнал Работ'!C:C,$C$2)</f>
        <v>0</v>
      </c>
      <c r="D118" s="194">
        <f>SUMIFS('Журнал Работ'!F:F,'Журнал Работ'!E:E,B118,'Журнал Работ'!C:C,$D$2)</f>
        <v>9</v>
      </c>
      <c r="E118" s="136"/>
      <c r="F118" s="102">
        <f>E118-Таблица1[[#This Row],[406/1]]</f>
        <v>0</v>
      </c>
      <c r="G118" s="198">
        <f>E118-Таблица1[[#This Row],[406/2]]</f>
        <v>-9</v>
      </c>
      <c r="H118" s="93" t="s">
        <v>285</v>
      </c>
      <c r="I118" s="102"/>
      <c r="J118" s="125"/>
      <c r="K118" s="102"/>
    </row>
    <row r="119" spans="1:11" ht="15.75" x14ac:dyDescent="0.25">
      <c r="A119" s="102"/>
      <c r="B119" s="96" t="s">
        <v>16</v>
      </c>
      <c r="C119" s="5">
        <f>SUMIFS('Журнал Работ'!F:F,'Журнал Работ'!E:E,B119,'Журнал Работ'!C:C,$C$2)</f>
        <v>160</v>
      </c>
      <c r="D119" s="194">
        <f>SUMIFS('Журнал Работ'!F:F,'Журнал Работ'!E:E,B119,'Журнал Работ'!C:C,$D$2)</f>
        <v>0</v>
      </c>
      <c r="E119" s="136"/>
      <c r="F119" s="102">
        <f>E119-Таблица1[[#This Row],[406/1]]</f>
        <v>-160</v>
      </c>
      <c r="G119" s="198">
        <f>E119-Таблица1[[#This Row],[406/2]]</f>
        <v>0</v>
      </c>
      <c r="H119" s="93" t="s">
        <v>285</v>
      </c>
      <c r="I119" s="102"/>
      <c r="J119" s="125"/>
      <c r="K119" s="102"/>
    </row>
    <row r="120" spans="1:11" ht="15.75" x14ac:dyDescent="0.25">
      <c r="A120" s="102"/>
      <c r="B120" s="96" t="s">
        <v>10</v>
      </c>
      <c r="C120" s="5">
        <f>SUMIFS('Журнал Работ'!F:F,'Журнал Работ'!E:E,B120,'Журнал Работ'!C:C,$C$2)</f>
        <v>10</v>
      </c>
      <c r="D120" s="194">
        <f>SUMIFS('Журнал Работ'!F:F,'Журнал Работ'!E:E,B120,'Журнал Работ'!C:C,$D$2)</f>
        <v>0</v>
      </c>
      <c r="E120" s="136"/>
      <c r="F120" s="102">
        <f>E120-Таблица1[[#This Row],[406/1]]</f>
        <v>-10</v>
      </c>
      <c r="G120" s="198">
        <f>E120-Таблица1[[#This Row],[406/2]]</f>
        <v>0</v>
      </c>
      <c r="H120" s="93" t="s">
        <v>285</v>
      </c>
      <c r="I120" s="102"/>
      <c r="J120" s="125"/>
      <c r="K120" s="102"/>
    </row>
    <row r="121" spans="1:11" ht="15.75" x14ac:dyDescent="0.25">
      <c r="A121" s="102"/>
      <c r="B121" s="96" t="s">
        <v>204</v>
      </c>
      <c r="C121" s="5">
        <f>SUMIFS('Журнал Работ'!F:F,'Журнал Работ'!E:E,B121,'Журнал Работ'!C:C,$C$2)</f>
        <v>0</v>
      </c>
      <c r="D121" s="194">
        <f>SUMIFS('Журнал Работ'!F:F,'Журнал Работ'!E:E,B121,'Журнал Работ'!C:C,$D$2)</f>
        <v>0</v>
      </c>
      <c r="E121" s="136"/>
      <c r="F121" s="102">
        <f>E121-Таблица1[[#This Row],[406/1]]</f>
        <v>0</v>
      </c>
      <c r="G121" s="198">
        <f>E121-Таблица1[[#This Row],[406/2]]</f>
        <v>0</v>
      </c>
      <c r="H121" s="93" t="s">
        <v>285</v>
      </c>
      <c r="I121" s="102"/>
      <c r="J121" s="125"/>
      <c r="K121" s="102"/>
    </row>
    <row r="122" spans="1:11" ht="15.75" x14ac:dyDescent="0.25">
      <c r="A122" s="102"/>
      <c r="B122" s="96" t="s">
        <v>15</v>
      </c>
      <c r="C122" s="5">
        <f>SUMIFS('Журнал Работ'!F:F,'Журнал Работ'!E:E,B122,'Журнал Работ'!C:C,$C$2)</f>
        <v>70</v>
      </c>
      <c r="D122" s="194">
        <f>SUMIFS('Журнал Работ'!F:F,'Журнал Работ'!E:E,B122,'Журнал Работ'!C:C,$D$2)</f>
        <v>0</v>
      </c>
      <c r="E122" s="136"/>
      <c r="F122" s="102">
        <f>E122-Таблица1[[#This Row],[406/1]]</f>
        <v>-70</v>
      </c>
      <c r="G122" s="198">
        <f>E122-Таблица1[[#This Row],[406/2]]</f>
        <v>0</v>
      </c>
      <c r="H122" s="93" t="s">
        <v>285</v>
      </c>
      <c r="I122" s="102"/>
      <c r="J122" s="125"/>
      <c r="K122" s="102"/>
    </row>
    <row r="123" spans="1:11" ht="15.75" x14ac:dyDescent="0.25">
      <c r="A123" s="102"/>
      <c r="B123" s="96" t="s">
        <v>17</v>
      </c>
      <c r="C123" s="5">
        <f>SUMIFS('Журнал Работ'!F:F,'Журнал Работ'!E:E,B123,'Журнал Работ'!C:C,$C$2)</f>
        <v>12</v>
      </c>
      <c r="D123" s="194">
        <f>SUMIFS('Журнал Работ'!F:F,'Журнал Работ'!E:E,B123,'Журнал Работ'!C:C,$D$2)</f>
        <v>0</v>
      </c>
      <c r="E123" s="136"/>
      <c r="F123" s="102">
        <f>E123-Таблица1[[#This Row],[406/1]]</f>
        <v>-12</v>
      </c>
      <c r="G123" s="198">
        <f>E123-Таблица1[[#This Row],[406/2]]</f>
        <v>0</v>
      </c>
      <c r="H123" s="93" t="s">
        <v>285</v>
      </c>
      <c r="I123" s="102"/>
      <c r="J123" s="125"/>
      <c r="K123" s="102"/>
    </row>
    <row r="124" spans="1:11" ht="15.75" x14ac:dyDescent="0.25">
      <c r="A124" s="102"/>
      <c r="B124" s="96" t="s">
        <v>211</v>
      </c>
      <c r="C124" s="5">
        <f>SUMIFS('Журнал Работ'!F:F,'Журнал Работ'!E:E,B124,'Журнал Работ'!C:C,$C$2)</f>
        <v>0</v>
      </c>
      <c r="D124" s="194">
        <f>SUMIFS('Журнал Работ'!F:F,'Журнал Работ'!E:E,B124,'Журнал Работ'!C:C,$D$2)</f>
        <v>0</v>
      </c>
      <c r="E124" s="136"/>
      <c r="F124" s="102">
        <f>E124-Таблица1[[#This Row],[406/1]]</f>
        <v>0</v>
      </c>
      <c r="G124" s="198">
        <f>E124-Таблица1[[#This Row],[406/2]]</f>
        <v>0</v>
      </c>
      <c r="H124" s="93" t="s">
        <v>285</v>
      </c>
      <c r="I124" s="102"/>
      <c r="J124" s="125"/>
      <c r="K124" s="102"/>
    </row>
    <row r="125" spans="1:11" ht="15.75" x14ac:dyDescent="0.25">
      <c r="A125" s="102"/>
      <c r="B125" s="96" t="s">
        <v>337</v>
      </c>
      <c r="C125" s="5">
        <f>SUMIFS('Журнал Работ'!F:F,'Журнал Работ'!E:E,B125,'Журнал Работ'!C:C,$C$2)</f>
        <v>4</v>
      </c>
      <c r="D125" s="194">
        <f>SUMIFS('Журнал Работ'!F:F,'Журнал Работ'!E:E,B125,'Журнал Работ'!C:C,$D$2)</f>
        <v>0</v>
      </c>
      <c r="E125" s="136"/>
      <c r="F125" s="102">
        <f>E125-Таблица1[[#This Row],[406/1]]</f>
        <v>-4</v>
      </c>
      <c r="G125" s="198">
        <f>E125-Таблица1[[#This Row],[406/2]]</f>
        <v>0</v>
      </c>
      <c r="H125" s="93" t="s">
        <v>285</v>
      </c>
      <c r="I125" s="102"/>
      <c r="J125" s="125"/>
      <c r="K125" s="102"/>
    </row>
    <row r="126" spans="1:11" ht="15.75" x14ac:dyDescent="0.25">
      <c r="A126" s="102"/>
      <c r="B126" s="96" t="s">
        <v>280</v>
      </c>
      <c r="C126" s="5">
        <f>SUMIFS('Журнал Работ'!F:F,'Журнал Работ'!E:E,B126,'Журнал Работ'!C:C,$C$2)</f>
        <v>58</v>
      </c>
      <c r="D126" s="194">
        <f>SUMIFS('Журнал Работ'!F:F,'Журнал Работ'!E:E,B126,'Журнал Работ'!C:C,$D$2)</f>
        <v>84</v>
      </c>
      <c r="E126" s="136"/>
      <c r="F126" s="102">
        <f>E126-Таблица1[[#This Row],[406/1]]</f>
        <v>-58</v>
      </c>
      <c r="G126" s="198">
        <f>E126-Таблица1[[#This Row],[406/2]]</f>
        <v>-84</v>
      </c>
      <c r="H126" s="93" t="s">
        <v>285</v>
      </c>
      <c r="I126" s="102"/>
      <c r="J126" s="125"/>
      <c r="K126" s="102"/>
    </row>
    <row r="127" spans="1:11" ht="15.75" x14ac:dyDescent="0.25">
      <c r="A127" s="102"/>
      <c r="B127" s="96" t="s">
        <v>459</v>
      </c>
      <c r="C127" s="5">
        <f>SUMIFS('Журнал Работ'!F:F,'Журнал Работ'!E:E,B127,'Журнал Работ'!C:C,$C$2)</f>
        <v>2</v>
      </c>
      <c r="D127" s="194">
        <f>SUMIFS('Журнал Работ'!F:F,'Журнал Работ'!E:E,B127,'Журнал Работ'!C:C,$D$2)</f>
        <v>0</v>
      </c>
      <c r="E127" s="136"/>
      <c r="F127" s="102">
        <f>E127-Таблица1[[#This Row],[406/1]]</f>
        <v>-2</v>
      </c>
      <c r="G127" s="198">
        <f>E127-Таблица1[[#This Row],[406/2]]</f>
        <v>0</v>
      </c>
      <c r="H127" s="93" t="s">
        <v>285</v>
      </c>
      <c r="I127" s="102"/>
      <c r="J127" s="125"/>
      <c r="K127" s="102"/>
    </row>
    <row r="128" spans="1:11" ht="15.75" x14ac:dyDescent="0.25">
      <c r="A128" s="102"/>
      <c r="B128" s="96" t="s">
        <v>50</v>
      </c>
      <c r="C128" s="5">
        <f>SUMIFS('Журнал Работ'!F:F,'Журнал Работ'!E:E,B128,'Журнал Работ'!C:C,$C$2)</f>
        <v>0</v>
      </c>
      <c r="D128" s="194">
        <f>SUMIFS('Журнал Работ'!F:F,'Журнал Работ'!E:E,B128,'Журнал Работ'!C:C,$D$2)</f>
        <v>0</v>
      </c>
      <c r="E128" s="136"/>
      <c r="F128" s="102">
        <f>E128-Таблица1[[#This Row],[406/1]]</f>
        <v>0</v>
      </c>
      <c r="G128" s="198">
        <f>E128-Таблица1[[#This Row],[406/2]]</f>
        <v>0</v>
      </c>
      <c r="H128" s="93" t="s">
        <v>285</v>
      </c>
      <c r="I128" s="102"/>
      <c r="J128" s="125"/>
      <c r="K128" s="102"/>
    </row>
    <row r="129" spans="1:11" ht="15.75" x14ac:dyDescent="0.25">
      <c r="A129" s="102" t="s">
        <v>295</v>
      </c>
      <c r="B129" s="96" t="s">
        <v>249</v>
      </c>
      <c r="C129" s="5">
        <f>SUMIFS('Журнал Работ'!F:F,'Журнал Работ'!E:E,B129,'Журнал Работ'!C:C,$C$2)</f>
        <v>1</v>
      </c>
      <c r="D129" s="194">
        <f>SUMIFS('Журнал Работ'!F:F,'Журнал Работ'!E:E,B129,'Журнал Работ'!C:C,$D$2)</f>
        <v>1</v>
      </c>
      <c r="E129" s="136">
        <f t="shared" ref="E129:E143" si="3">J129+K129</f>
        <v>1</v>
      </c>
      <c r="F129" s="102">
        <f>E129-Таблица1[[#This Row],[406/1]]</f>
        <v>0</v>
      </c>
      <c r="G129" s="198">
        <f>E129-Таблица1[[#This Row],[406/2]]</f>
        <v>0</v>
      </c>
      <c r="H129" s="93"/>
      <c r="I129" s="102"/>
      <c r="J129" s="125">
        <v>1</v>
      </c>
      <c r="K129" s="102"/>
    </row>
    <row r="130" spans="1:11" ht="15.75" x14ac:dyDescent="0.25">
      <c r="A130" s="102" t="s">
        <v>295</v>
      </c>
      <c r="B130" s="96" t="s">
        <v>250</v>
      </c>
      <c r="C130" s="5">
        <f>SUMIFS('Журнал Работ'!F:F,'Журнал Работ'!E:E,B130,'Журнал Работ'!C:C,$C$2)</f>
        <v>1</v>
      </c>
      <c r="D130" s="194">
        <f>SUMIFS('Журнал Работ'!F:F,'Журнал Работ'!E:E,B130,'Журнал Работ'!C:C,$D$2)</f>
        <v>1</v>
      </c>
      <c r="E130" s="136">
        <f t="shared" si="3"/>
        <v>1</v>
      </c>
      <c r="F130" s="102">
        <f>E130-Таблица1[[#This Row],[406/1]]</f>
        <v>0</v>
      </c>
      <c r="G130" s="198">
        <f>E130-Таблица1[[#This Row],[406/2]]</f>
        <v>0</v>
      </c>
      <c r="H130" s="93"/>
      <c r="I130" s="102"/>
      <c r="J130" s="125">
        <v>1</v>
      </c>
      <c r="K130" s="102"/>
    </row>
    <row r="131" spans="1:11" ht="15.75" x14ac:dyDescent="0.25">
      <c r="A131" s="102" t="s">
        <v>295</v>
      </c>
      <c r="B131" s="96" t="s">
        <v>247</v>
      </c>
      <c r="C131" s="5">
        <f>SUMIFS('Журнал Работ'!F:F,'Журнал Работ'!E:E,B131,'Журнал Работ'!C:C,$C$2)</f>
        <v>1</v>
      </c>
      <c r="D131" s="194">
        <f>SUMIFS('Журнал Работ'!F:F,'Журнал Работ'!E:E,B131,'Журнал Работ'!C:C,$D$2)</f>
        <v>1</v>
      </c>
      <c r="E131" s="136">
        <f t="shared" si="3"/>
        <v>1</v>
      </c>
      <c r="F131" s="102">
        <f>E131-Таблица1[[#This Row],[406/1]]</f>
        <v>0</v>
      </c>
      <c r="G131" s="198">
        <f>E131-Таблица1[[#This Row],[406/2]]</f>
        <v>0</v>
      </c>
      <c r="H131" s="93"/>
      <c r="I131" s="102"/>
      <c r="J131" s="125"/>
      <c r="K131" s="102">
        <v>1</v>
      </c>
    </row>
    <row r="132" spans="1:11" ht="15.75" x14ac:dyDescent="0.25">
      <c r="A132" s="102" t="s">
        <v>295</v>
      </c>
      <c r="B132" s="96" t="s">
        <v>248</v>
      </c>
      <c r="C132" s="5">
        <f>SUMIFS('Журнал Работ'!F:F,'Журнал Работ'!E:E,B132,'Журнал Работ'!C:C,$C$2)</f>
        <v>1</v>
      </c>
      <c r="D132" s="194">
        <f>SUMIFS('Журнал Работ'!F:F,'Журнал Работ'!E:E,B132,'Журнал Работ'!C:C,$D$2)</f>
        <v>1</v>
      </c>
      <c r="E132" s="136">
        <f t="shared" si="3"/>
        <v>1</v>
      </c>
      <c r="F132" s="102">
        <f>E132-Таблица1[[#This Row],[406/1]]</f>
        <v>0</v>
      </c>
      <c r="G132" s="198">
        <f>E132-Таблица1[[#This Row],[406/2]]</f>
        <v>0</v>
      </c>
      <c r="H132" s="93"/>
      <c r="I132" s="102"/>
      <c r="J132" s="125"/>
      <c r="K132" s="102">
        <v>1</v>
      </c>
    </row>
    <row r="133" spans="1:11" ht="15.75" x14ac:dyDescent="0.25">
      <c r="A133" s="102" t="s">
        <v>295</v>
      </c>
      <c r="B133" s="96" t="s">
        <v>245</v>
      </c>
      <c r="C133" s="5">
        <f>SUMIFS('Журнал Работ'!F:F,'Журнал Работ'!E:E,B133,'Журнал Работ'!C:C,$C$2)</f>
        <v>1</v>
      </c>
      <c r="D133" s="194">
        <f>SUMIFS('Журнал Работ'!F:F,'Журнал Работ'!E:E,B133,'Журнал Работ'!C:C,$D$2)</f>
        <v>1</v>
      </c>
      <c r="E133" s="136">
        <f t="shared" si="3"/>
        <v>1</v>
      </c>
      <c r="F133" s="102">
        <f>E133-Таблица1[[#This Row],[406/1]]</f>
        <v>0</v>
      </c>
      <c r="G133" s="198">
        <f>E133-Таблица1[[#This Row],[406/2]]</f>
        <v>0</v>
      </c>
      <c r="H133" s="93"/>
      <c r="I133" s="102"/>
      <c r="J133" s="125"/>
      <c r="K133" s="102">
        <v>1</v>
      </c>
    </row>
    <row r="134" spans="1:11" ht="15.75" x14ac:dyDescent="0.25">
      <c r="A134" s="102" t="s">
        <v>295</v>
      </c>
      <c r="B134" s="96" t="s">
        <v>246</v>
      </c>
      <c r="C134" s="5">
        <f>SUMIFS('Журнал Работ'!F:F,'Журнал Работ'!E:E,B134,'Журнал Работ'!C:C,$C$2)</f>
        <v>1</v>
      </c>
      <c r="D134" s="194">
        <f>SUMIFS('Журнал Работ'!F:F,'Журнал Работ'!E:E,B134,'Журнал Работ'!C:C,$D$2)</f>
        <v>1</v>
      </c>
      <c r="E134" s="136">
        <f t="shared" si="3"/>
        <v>1</v>
      </c>
      <c r="F134" s="102">
        <f>E134-Таблица1[[#This Row],[406/1]]</f>
        <v>0</v>
      </c>
      <c r="G134" s="198">
        <f>E134-Таблица1[[#This Row],[406/2]]</f>
        <v>0</v>
      </c>
      <c r="H134" s="93"/>
      <c r="I134" s="102"/>
      <c r="J134" s="125"/>
      <c r="K134" s="102">
        <v>1</v>
      </c>
    </row>
    <row r="135" spans="1:11" ht="15.75" x14ac:dyDescent="0.25">
      <c r="A135" s="102" t="s">
        <v>295</v>
      </c>
      <c r="B135" s="96" t="s">
        <v>251</v>
      </c>
      <c r="C135" s="5">
        <f>SUMIFS('Журнал Работ'!F:F,'Журнал Работ'!E:E,B135,'Журнал Работ'!C:C,$C$2)</f>
        <v>1</v>
      </c>
      <c r="D135" s="194">
        <f>SUMIFS('Журнал Работ'!F:F,'Журнал Работ'!E:E,B135,'Журнал Работ'!C:C,$D$2)</f>
        <v>1</v>
      </c>
      <c r="E135" s="136">
        <f t="shared" si="3"/>
        <v>1</v>
      </c>
      <c r="F135" s="102">
        <f>E135-Таблица1[[#This Row],[406/1]]</f>
        <v>0</v>
      </c>
      <c r="G135" s="198">
        <f>E135-Таблица1[[#This Row],[406/2]]</f>
        <v>0</v>
      </c>
      <c r="H135" s="93"/>
      <c r="I135" s="102"/>
      <c r="J135" s="125">
        <v>1</v>
      </c>
      <c r="K135" s="102"/>
    </row>
    <row r="136" spans="1:11" ht="15.75" x14ac:dyDescent="0.25">
      <c r="A136" s="102" t="s">
        <v>295</v>
      </c>
      <c r="B136" s="96" t="s">
        <v>252</v>
      </c>
      <c r="C136" s="5">
        <f>SUMIFS('Журнал Работ'!F:F,'Журнал Работ'!E:E,B136,'Журнал Работ'!C:C,$C$2)</f>
        <v>1</v>
      </c>
      <c r="D136" s="194">
        <f>SUMIFS('Журнал Работ'!F:F,'Журнал Работ'!E:E,B136,'Журнал Работ'!C:C,$D$2)</f>
        <v>1</v>
      </c>
      <c r="E136" s="136">
        <f t="shared" si="3"/>
        <v>1</v>
      </c>
      <c r="F136" s="102">
        <f>E136-Таблица1[[#This Row],[406/1]]</f>
        <v>0</v>
      </c>
      <c r="G136" s="198">
        <f>E136-Таблица1[[#This Row],[406/2]]</f>
        <v>0</v>
      </c>
      <c r="H136" s="93"/>
      <c r="I136" s="102"/>
      <c r="J136" s="125">
        <v>1</v>
      </c>
      <c r="K136" s="102"/>
    </row>
    <row r="137" spans="1:11" ht="15.75" x14ac:dyDescent="0.25">
      <c r="A137" s="102" t="s">
        <v>295</v>
      </c>
      <c r="B137" s="96" t="s">
        <v>254</v>
      </c>
      <c r="C137" s="5">
        <f>SUMIFS('Журнал Работ'!F:F,'Журнал Работ'!E:E,B137,'Журнал Работ'!C:C,$C$2)</f>
        <v>1</v>
      </c>
      <c r="D137" s="194">
        <f>SUMIFS('Журнал Работ'!F:F,'Журнал Работ'!E:E,B137,'Журнал Работ'!C:C,$D$2)</f>
        <v>1</v>
      </c>
      <c r="E137" s="136">
        <f t="shared" si="3"/>
        <v>1</v>
      </c>
      <c r="F137" s="102">
        <f>E137-Таблица1[[#This Row],[406/1]]</f>
        <v>0</v>
      </c>
      <c r="G137" s="198">
        <f>E137-Таблица1[[#This Row],[406/2]]</f>
        <v>0</v>
      </c>
      <c r="H137" s="93"/>
      <c r="I137" s="102"/>
      <c r="J137" s="125">
        <v>1</v>
      </c>
      <c r="K137" s="102"/>
    </row>
    <row r="138" spans="1:11" ht="15.75" x14ac:dyDescent="0.25">
      <c r="A138" s="102" t="s">
        <v>295</v>
      </c>
      <c r="B138" s="96" t="s">
        <v>255</v>
      </c>
      <c r="C138" s="5">
        <f>SUMIFS('Журнал Работ'!F:F,'Журнал Работ'!E:E,B138,'Журнал Работ'!C:C,$C$2)</f>
        <v>1</v>
      </c>
      <c r="D138" s="194">
        <f>SUMIFS('Журнал Работ'!F:F,'Журнал Работ'!E:E,B138,'Журнал Работ'!C:C,$D$2)</f>
        <v>1</v>
      </c>
      <c r="E138" s="136">
        <f t="shared" si="3"/>
        <v>1</v>
      </c>
      <c r="F138" s="102">
        <f>E138-Таблица1[[#This Row],[406/1]]</f>
        <v>0</v>
      </c>
      <c r="G138" s="198">
        <f>E138-Таблица1[[#This Row],[406/2]]</f>
        <v>0</v>
      </c>
      <c r="H138" s="93"/>
      <c r="I138" s="102"/>
      <c r="J138" s="125">
        <v>1</v>
      </c>
      <c r="K138" s="102"/>
    </row>
    <row r="139" spans="1:11" ht="15.75" x14ac:dyDescent="0.25">
      <c r="A139" s="130" t="s">
        <v>295</v>
      </c>
      <c r="B139" s="123" t="s">
        <v>470</v>
      </c>
      <c r="C139" s="192">
        <f>SUMIFS('Журнал Работ'!F:F,'Журнал Работ'!E:E,B139,'Журнал Работ'!C:C,$C$2)</f>
        <v>1</v>
      </c>
      <c r="D139" s="195">
        <f>SUMIFS('Журнал Работ'!F:F,'Журнал Работ'!E:E,B139,'Журнал Работ'!C:C,$D$2)</f>
        <v>1</v>
      </c>
      <c r="E139" s="139"/>
      <c r="F139" s="127"/>
      <c r="G139" s="199"/>
      <c r="H139" s="93"/>
    </row>
    <row r="140" spans="1:11" ht="15.75" x14ac:dyDescent="0.25">
      <c r="A140" s="130" t="s">
        <v>295</v>
      </c>
      <c r="B140" s="123" t="s">
        <v>471</v>
      </c>
      <c r="C140" s="5">
        <f>SUMIFS('Журнал Работ'!F:F,'Журнал Работ'!E:E,B140,'Журнал Работ'!C:C,$C$2)</f>
        <v>1</v>
      </c>
      <c r="D140" s="196">
        <f>SUMIFS('Журнал Работ'!F:F,'Журнал Работ'!E:E,B140,'Журнал Работ'!C:C,$D$2)</f>
        <v>1</v>
      </c>
      <c r="E140" s="136"/>
      <c r="F140" s="102"/>
      <c r="G140" s="198"/>
      <c r="H140" s="93"/>
    </row>
    <row r="141" spans="1:11" ht="15.75" x14ac:dyDescent="0.25">
      <c r="A141" s="102" t="s">
        <v>295</v>
      </c>
      <c r="B141" s="96" t="s">
        <v>290</v>
      </c>
      <c r="C141" s="5">
        <f>SUMIFS('Журнал Работ'!F:F,'Журнал Работ'!E:E,B141,'Журнал Работ'!C:C,$C$2)</f>
        <v>4</v>
      </c>
      <c r="D141" s="194">
        <f>SUMIFS('Журнал Работ'!F:F,'Журнал Работ'!E:E,B141,'Журнал Работ'!C:C,$D$2)</f>
        <v>2</v>
      </c>
      <c r="E141" s="136">
        <f t="shared" si="3"/>
        <v>4</v>
      </c>
      <c r="F141" s="102">
        <f>E141-Таблица1[[#This Row],[406/1]]</f>
        <v>0</v>
      </c>
      <c r="G141" s="198">
        <f>E141-Таблица1[[#This Row],[406/2]]</f>
        <v>2</v>
      </c>
      <c r="H141" s="93"/>
      <c r="I141" s="102"/>
      <c r="J141" s="125">
        <v>4</v>
      </c>
      <c r="K141" s="102"/>
    </row>
    <row r="142" spans="1:11" ht="15.75" x14ac:dyDescent="0.25">
      <c r="A142" s="102" t="s">
        <v>295</v>
      </c>
      <c r="B142" s="96" t="s">
        <v>305</v>
      </c>
      <c r="C142" s="5">
        <f>SUMIFS('Журнал Работ'!F:F,'Журнал Работ'!E:E,B142,'Журнал Работ'!C:C,$C$2)</f>
        <v>1</v>
      </c>
      <c r="D142" s="194">
        <f>SUMIFS('Журнал Работ'!F:F,'Журнал Работ'!E:E,B142,'Журнал Работ'!C:C,$D$2)</f>
        <v>1</v>
      </c>
      <c r="E142" s="136">
        <f t="shared" si="3"/>
        <v>1</v>
      </c>
      <c r="F142" s="102">
        <f>E142-Таблица1[[#This Row],[406/1]]</f>
        <v>0</v>
      </c>
      <c r="G142" s="198">
        <f>E142-Таблица1[[#This Row],[406/2]]</f>
        <v>0</v>
      </c>
      <c r="H142" s="93"/>
      <c r="I142" s="102"/>
      <c r="J142" s="125">
        <v>1</v>
      </c>
      <c r="K142" s="102"/>
    </row>
    <row r="143" spans="1:11" ht="15.75" x14ac:dyDescent="0.25">
      <c r="A143" s="102" t="s">
        <v>295</v>
      </c>
      <c r="B143" s="96" t="s">
        <v>306</v>
      </c>
      <c r="C143" s="5">
        <f>SUMIFS('Журнал Работ'!F:F,'Журнал Работ'!E:E,B143,'Журнал Работ'!C:C,$C$2)</f>
        <v>1</v>
      </c>
      <c r="D143" s="194">
        <f>SUMIFS('Журнал Работ'!F:F,'Журнал Работ'!E:E,B143,'Журнал Работ'!C:C,$D$2)</f>
        <v>1</v>
      </c>
      <c r="E143" s="136">
        <f t="shared" si="3"/>
        <v>1</v>
      </c>
      <c r="F143" s="102">
        <f>E143-Таблица1[[#This Row],[406/1]]</f>
        <v>0</v>
      </c>
      <c r="G143" s="198">
        <f>E143-Таблица1[[#This Row],[406/2]]</f>
        <v>0</v>
      </c>
      <c r="H143" s="93"/>
      <c r="I143" s="102"/>
      <c r="J143" s="125">
        <v>1</v>
      </c>
      <c r="K143" s="102"/>
    </row>
    <row r="144" spans="1:11" ht="15.75" x14ac:dyDescent="0.25">
      <c r="A144" s="102" t="s">
        <v>295</v>
      </c>
      <c r="B144" s="123" t="s">
        <v>402</v>
      </c>
      <c r="C144" s="147">
        <f>SUMIFS('Журнал Работ'!F:F,'Журнал Работ'!E:E,B144,'Журнал Работ'!C:C,$C$2)</f>
        <v>9</v>
      </c>
      <c r="D144" s="195">
        <f>SUMIFS('Журнал Работ'!F:F,'Журнал Работ'!E:E,B144,'Журнал Работ'!C:C,$D$2)</f>
        <v>0</v>
      </c>
      <c r="E144" s="171">
        <v>6</v>
      </c>
      <c r="F144" s="102">
        <f>E144-Таблица1[[#This Row],[406/1]]</f>
        <v>-3</v>
      </c>
      <c r="G144" s="198">
        <f>E144-Таблица1[[#This Row],[406/2]]</f>
        <v>6</v>
      </c>
      <c r="H144" s="93"/>
      <c r="I144" s="102"/>
    </row>
    <row r="145" spans="1:11" ht="15.75" x14ac:dyDescent="0.25">
      <c r="A145" s="122"/>
      <c r="B145" s="96" t="s">
        <v>282</v>
      </c>
      <c r="C145" s="5">
        <f>SUMIFS('Журнал Работ'!F:F,'Журнал Работ'!E:E,B145,'Журнал Работ'!C:C,$C$2)</f>
        <v>0</v>
      </c>
      <c r="D145" s="194">
        <f>SUMIFS('Журнал Работ'!F:F,'Журнал Работ'!E:E,B145,'Журнал Работ'!C:C,$D$2)</f>
        <v>2</v>
      </c>
      <c r="E145" s="136"/>
      <c r="F145" s="102">
        <f>E145-Таблица1[[#This Row],[406/1]]</f>
        <v>0</v>
      </c>
      <c r="G145" s="198">
        <f>E145-Таблица1[[#This Row],[406/2]]</f>
        <v>-2</v>
      </c>
      <c r="H145" s="93"/>
      <c r="I145" s="102"/>
      <c r="J145" s="125"/>
      <c r="K145" s="102"/>
    </row>
    <row r="146" spans="1:11" ht="15.75" x14ac:dyDescent="0.25">
      <c r="A146" s="102"/>
      <c r="B146" s="123" t="s">
        <v>321</v>
      </c>
      <c r="C146" s="119">
        <f>SUMIFS('Журнал Работ'!F:F,'Журнал Работ'!E:E,B146,'Журнал Работ'!C:C,$C$2)</f>
        <v>0</v>
      </c>
      <c r="D146" s="195">
        <f>SUMIFS('Журнал Работ'!F:F,'Журнал Работ'!E:E,B146,'Журнал Работ'!C:C,$D$2)</f>
        <v>0</v>
      </c>
      <c r="E146" s="136"/>
      <c r="F146" s="102"/>
      <c r="G146" s="198"/>
      <c r="H146" s="93"/>
      <c r="I146" s="102"/>
    </row>
    <row r="147" spans="1:11" ht="15.75" x14ac:dyDescent="0.25">
      <c r="A147" s="102"/>
      <c r="B147" s="123" t="s">
        <v>327</v>
      </c>
      <c r="C147" s="121">
        <f>SUMIFS('Журнал Работ'!F:F,'Журнал Работ'!E:E,B147,'Журнал Работ'!C:C,$C$2)</f>
        <v>0</v>
      </c>
      <c r="D147" s="195">
        <f>SUMIFS('Журнал Работ'!F:F,'Журнал Работ'!E:E,B147,'Журнал Работ'!C:C,$D$2)</f>
        <v>9</v>
      </c>
      <c r="E147" s="136"/>
      <c r="F147" s="102"/>
      <c r="G147" s="198"/>
      <c r="H147" s="93"/>
      <c r="I147" s="102"/>
    </row>
    <row r="148" spans="1:11" ht="15.75" x14ac:dyDescent="0.25">
      <c r="A148" s="102"/>
      <c r="B148" s="123" t="s">
        <v>329</v>
      </c>
      <c r="C148" s="121">
        <f>SUMIFS('Журнал Работ'!F:F,'Журнал Работ'!E:E,B148,'Журнал Работ'!C:C,$C$2)</f>
        <v>12</v>
      </c>
      <c r="D148" s="195">
        <f>SUMIFS('Журнал Работ'!F:F,'Журнал Работ'!E:E,B148,'Журнал Работ'!C:C,$D$2)</f>
        <v>0</v>
      </c>
      <c r="E148" s="136"/>
      <c r="F148" s="102"/>
      <c r="G148" s="198"/>
      <c r="H148" s="93"/>
      <c r="I148" s="102"/>
    </row>
    <row r="149" spans="1:11" ht="15.75" x14ac:dyDescent="0.25">
      <c r="A149" s="130"/>
      <c r="B149" s="123" t="s">
        <v>346</v>
      </c>
      <c r="C149" s="129">
        <f>SUMIFS('Журнал Работ'!F:F,'Журнал Работ'!E:E,B149,'Журнал Работ'!C:C,$C$2)</f>
        <v>48</v>
      </c>
      <c r="D149" s="195">
        <f>SUMIFS('Журнал Работ'!F:F,'Журнал Работ'!E:E,B149,'Журнал Работ'!C:C,$D$2)</f>
        <v>30</v>
      </c>
      <c r="E149" s="136"/>
      <c r="F149" s="102"/>
      <c r="G149" s="198"/>
      <c r="H149" s="93"/>
      <c r="I149" s="102"/>
    </row>
    <row r="150" spans="1:11" ht="15.75" x14ac:dyDescent="0.25">
      <c r="A150" s="130"/>
      <c r="B150" s="123" t="s">
        <v>523</v>
      </c>
      <c r="C150" s="142">
        <f>SUMIFS('Журнал Работ'!F:F,'Журнал Работ'!E:E,B150,'Журнал Работ'!C:C,$C$2)</f>
        <v>6</v>
      </c>
      <c r="D150" s="195">
        <f>SUMIFS('Журнал Работ'!F:F,'Журнал Работ'!E:E,B150,'Журнал Работ'!C:C,$D$2)</f>
        <v>0</v>
      </c>
      <c r="E150" s="139"/>
      <c r="F150" s="127"/>
      <c r="G150" s="199"/>
      <c r="H150" s="93"/>
      <c r="I150" s="102"/>
    </row>
    <row r="151" spans="1:11" ht="15.75" x14ac:dyDescent="0.25">
      <c r="A151" s="130"/>
      <c r="B151" s="123" t="s">
        <v>377</v>
      </c>
      <c r="C151" s="142">
        <f>SUMIFS('Журнал Работ'!F:F,'Журнал Работ'!E:E,B151,'Журнал Работ'!C:C,$C$2)</f>
        <v>21</v>
      </c>
      <c r="D151" s="195">
        <f>SUMIFS('Журнал Работ'!F:F,'Журнал Работ'!E:E,B151,'Журнал Работ'!C:C,$D$2)</f>
        <v>0</v>
      </c>
      <c r="E151" s="139"/>
      <c r="F151" s="127"/>
      <c r="G151" s="199"/>
      <c r="H151" s="93"/>
      <c r="I151" s="102"/>
    </row>
    <row r="152" spans="1:11" ht="15.75" x14ac:dyDescent="0.25">
      <c r="B152" s="98" t="s">
        <v>383</v>
      </c>
      <c r="C152" s="5">
        <f>SUMIFS('Журнал Работ'!F:F,'Журнал Работ'!E:E,B152,'Журнал Работ'!C:C,$C$2)</f>
        <v>20</v>
      </c>
      <c r="D152" s="196">
        <f>SUMIFS('Журнал Работ'!F:F,'Журнал Работ'!E:E,B152,'Журнал Работ'!C:C,$D$2)</f>
        <v>0</v>
      </c>
      <c r="E152" s="136"/>
      <c r="F152" s="102"/>
      <c r="G152" s="198"/>
      <c r="H152" s="93"/>
      <c r="I152" s="102"/>
    </row>
    <row r="153" spans="1:11" ht="15.75" x14ac:dyDescent="0.25">
      <c r="A153" s="102" t="s">
        <v>297</v>
      </c>
      <c r="B153" s="123" t="s">
        <v>384</v>
      </c>
      <c r="C153" s="144">
        <f>SUMIFS('Журнал Работ'!F:F,'Журнал Работ'!E:E,B153,'Журнал Работ'!C:C,$C$2)</f>
        <v>4</v>
      </c>
      <c r="D153" s="195">
        <f>SUMIFS('Журнал Работ'!F:F,'Журнал Работ'!E:E,B153,'Журнал Работ'!C:C,$D$2)</f>
        <v>0</v>
      </c>
      <c r="E153" s="169">
        <v>5</v>
      </c>
      <c r="F153" s="102">
        <f>E153-Таблица1[[#This Row],[406/1]]</f>
        <v>1</v>
      </c>
      <c r="G153" s="198">
        <f>E153-Таблица1[[#This Row],[406/2]]</f>
        <v>5</v>
      </c>
      <c r="H153" s="93"/>
      <c r="I153" s="102"/>
    </row>
    <row r="154" spans="1:11" ht="15.75" x14ac:dyDescent="0.25">
      <c r="A154" s="102" t="s">
        <v>297</v>
      </c>
      <c r="B154" s="98" t="s">
        <v>455</v>
      </c>
      <c r="C154" s="144">
        <f>SUMIFS('Журнал Работ'!F:F,'Журнал Работ'!E:E,B154,'Журнал Работ'!C:C,$C$2)</f>
        <v>68</v>
      </c>
      <c r="D154" s="195">
        <f>SUMIFS('Журнал Работ'!F:F,'Журнал Работ'!E:E,B154,'Журнал Работ'!C:C,$D$2)</f>
        <v>0</v>
      </c>
      <c r="E154" s="170">
        <v>63</v>
      </c>
      <c r="F154" s="102">
        <f>E154-Таблица1[[#This Row],[406/1]]</f>
        <v>-5</v>
      </c>
      <c r="G154" s="198">
        <f>E154-Таблица1[[#This Row],[406/2]]</f>
        <v>63</v>
      </c>
      <c r="H154" s="93"/>
      <c r="I154" s="102"/>
    </row>
    <row r="155" spans="1:11" ht="15.75" x14ac:dyDescent="0.25">
      <c r="A155" s="102"/>
      <c r="B155" s="123" t="s">
        <v>388</v>
      </c>
      <c r="C155" s="146">
        <f>SUMIFS('Журнал Работ'!F:F,'Журнал Работ'!E:E,B155,'Журнал Работ'!C:C,$C$2)</f>
        <v>16</v>
      </c>
      <c r="D155" s="195">
        <f>SUMIFS('Журнал Работ'!F:F,'Журнал Работ'!E:E,B155,'Журнал Работ'!C:C,$D$2)</f>
        <v>0</v>
      </c>
      <c r="E155" s="170">
        <v>16</v>
      </c>
      <c r="F155" s="102">
        <f>E155-Таблица1[[#This Row],[406/1]]</f>
        <v>0</v>
      </c>
      <c r="G155" s="198">
        <f>E155-Таблица1[[#This Row],[406/2]]</f>
        <v>16</v>
      </c>
      <c r="H155" s="93"/>
      <c r="I155" s="102"/>
    </row>
    <row r="156" spans="1:11" ht="15.75" x14ac:dyDescent="0.25">
      <c r="A156" s="102" t="s">
        <v>297</v>
      </c>
      <c r="B156" s="123" t="s">
        <v>446</v>
      </c>
      <c r="C156" s="150">
        <f>SUMIFS('Журнал Работ'!F:F,'Журнал Работ'!E:E,B156,'Журнал Работ'!C:C,$C$2)</f>
        <v>16</v>
      </c>
      <c r="D156" s="195">
        <f>SUMIFS('Журнал Работ'!F:F,'Журнал Работ'!E:E,B156,'Журнал Работ'!C:C,$D$2)</f>
        <v>0</v>
      </c>
      <c r="E156" s="170">
        <v>16</v>
      </c>
      <c r="F156" s="102">
        <f>E156-Таблица1[[#This Row],[406/1]]</f>
        <v>0</v>
      </c>
      <c r="G156" s="198">
        <f>E156-Таблица1[[#This Row],[406/2]]</f>
        <v>16</v>
      </c>
      <c r="H156" s="93"/>
      <c r="I156" s="102"/>
    </row>
    <row r="157" spans="1:11" ht="15.75" x14ac:dyDescent="0.25">
      <c r="A157" s="102" t="s">
        <v>297</v>
      </c>
      <c r="B157" s="166" t="s">
        <v>498</v>
      </c>
      <c r="C157" s="150">
        <f>SUMIFS('Журнал Работ'!F:F,'Журнал Работ'!E:E,B157,'Журнал Работ'!C:C,$C$2)</f>
        <v>18</v>
      </c>
      <c r="D157" s="195">
        <f>SUMIFS('Журнал Работ'!F:F,'Журнал Работ'!E:E,B157,'Журнал Работ'!C:C,$D$2)</f>
        <v>0</v>
      </c>
      <c r="E157" s="172">
        <v>16</v>
      </c>
      <c r="F157" s="102">
        <f>E157-Таблица1[[#This Row],[406/1]]</f>
        <v>-2</v>
      </c>
      <c r="G157" s="198">
        <f>E157-Таблица1[[#This Row],[406/2]]</f>
        <v>16</v>
      </c>
      <c r="H157" s="93"/>
      <c r="I157" s="102"/>
    </row>
    <row r="158" spans="1:11" ht="15.75" x14ac:dyDescent="0.25">
      <c r="A158" s="102" t="s">
        <v>297</v>
      </c>
      <c r="B158" s="123" t="s">
        <v>319</v>
      </c>
      <c r="C158" s="147">
        <f>SUMIFS('Журнал Работ'!F:F,'Журнал Работ'!E:E,B158,'Журнал Работ'!C:C,$C$2)</f>
        <v>58</v>
      </c>
      <c r="D158" s="195">
        <f>SUMIFS('Журнал Работ'!F:F,'Журнал Работ'!E:E,B158,'Журнал Работ'!C:C,$D$2)</f>
        <v>0</v>
      </c>
      <c r="E158" s="170">
        <v>52</v>
      </c>
      <c r="F158" s="102">
        <f>E158-Таблица1[[#This Row],[406/1]]</f>
        <v>-6</v>
      </c>
      <c r="G158" s="198">
        <f>E158-Таблица1[[#This Row],[406/2]]</f>
        <v>52</v>
      </c>
      <c r="H158" s="93"/>
      <c r="I158" s="102"/>
    </row>
    <row r="159" spans="1:11" ht="15.75" x14ac:dyDescent="0.25">
      <c r="A159" s="130"/>
      <c r="B159" s="96" t="s">
        <v>399</v>
      </c>
      <c r="C159" s="146">
        <f>SUMIFS('Журнал Работ'!F:F,'Журнал Работ'!E:E,B159,'Журнал Работ'!C:C,$C$2)</f>
        <v>24</v>
      </c>
      <c r="D159" s="195">
        <f>SUMIFS('Журнал Работ'!F:F,'Журнал Работ'!E:E,B159,'Журнал Работ'!C:C,$D$2)</f>
        <v>27</v>
      </c>
      <c r="E159" s="139"/>
      <c r="F159" s="127"/>
      <c r="G159" s="199"/>
      <c r="H159" s="93"/>
      <c r="I159" s="102"/>
    </row>
    <row r="160" spans="1:11" ht="15.75" x14ac:dyDescent="0.25">
      <c r="A160" s="130"/>
      <c r="B160" s="98" t="s">
        <v>408</v>
      </c>
      <c r="C160" s="147">
        <f>SUMIFS('Журнал Работ'!F:F,'Журнал Работ'!E:E,B160,'Журнал Работ'!C:C,$C$2)</f>
        <v>304.2</v>
      </c>
      <c r="D160" s="195">
        <f>SUMIFS('Журнал Работ'!F:F,'Журнал Работ'!E:E,B160,'Журнал Работ'!C:C,$D$2)</f>
        <v>0</v>
      </c>
      <c r="E160" s="139"/>
      <c r="F160" s="127"/>
      <c r="G160" s="199"/>
      <c r="H160" s="93"/>
      <c r="I160" s="102"/>
    </row>
    <row r="161" spans="1:9" ht="15.75" x14ac:dyDescent="0.25">
      <c r="A161" s="130"/>
      <c r="B161" s="123" t="s">
        <v>410</v>
      </c>
      <c r="C161" s="150">
        <f>SUMIFS('Журнал Работ'!F:F,'Журнал Работ'!E:E,B161,'Журнал Работ'!C:C,$C$2)</f>
        <v>10</v>
      </c>
      <c r="D161" s="195">
        <f>SUMIFS('Журнал Работ'!F:F,'Журнал Работ'!E:E,B161,'Журнал Работ'!C:C,$D$2)</f>
        <v>0</v>
      </c>
      <c r="E161" s="139"/>
      <c r="F161" s="127"/>
      <c r="G161" s="199"/>
      <c r="H161" s="93"/>
      <c r="I161" s="102"/>
    </row>
    <row r="162" spans="1:9" ht="15.75" x14ac:dyDescent="0.25">
      <c r="B162" s="98" t="s">
        <v>415</v>
      </c>
      <c r="C162" s="5">
        <f>SUMIFS('Журнал Работ'!F:F,'Журнал Работ'!E:E,B162,'Журнал Работ'!C:C,$C$2)</f>
        <v>42.5</v>
      </c>
      <c r="D162" s="196">
        <f>SUMIFS('Журнал Работ'!F:F,'Журнал Работ'!E:E,B162,'Журнал Работ'!C:C,$D$2)</f>
        <v>22</v>
      </c>
      <c r="E162" s="136">
        <v>170</v>
      </c>
      <c r="F162" s="102">
        <f>E162-Таблица1[[#This Row],[406/1]]</f>
        <v>127.5</v>
      </c>
      <c r="G162" s="198">
        <f>E162-Таблица1[[#This Row],[406/2]]</f>
        <v>148</v>
      </c>
      <c r="H162" s="93"/>
      <c r="I162" s="102"/>
    </row>
    <row r="163" spans="1:9" ht="15.75" x14ac:dyDescent="0.25">
      <c r="A163" s="130"/>
      <c r="B163" s="123" t="s">
        <v>416</v>
      </c>
      <c r="C163" s="168">
        <f>SUMIFS('Журнал Работ'!F:F,'Журнал Работ'!E:E,B163,'Журнал Работ'!C:C,$C$2)</f>
        <v>24.5</v>
      </c>
      <c r="D163" s="195">
        <f>SUMIFS('Журнал Работ'!F:F,'Журнал Работ'!E:E,B163,'Журнал Работ'!C:C,$D$2)</f>
        <v>0</v>
      </c>
      <c r="E163" s="139">
        <v>32</v>
      </c>
      <c r="F163" s="102">
        <f>E163-Таблица1[[#This Row],[406/1]]</f>
        <v>7.5</v>
      </c>
      <c r="G163" s="198">
        <f>E163-Таблица1[[#This Row],[406/2]]</f>
        <v>32</v>
      </c>
      <c r="H163" s="93"/>
      <c r="I163" s="102"/>
    </row>
    <row r="164" spans="1:9" ht="15.75" x14ac:dyDescent="0.25">
      <c r="A164" s="130"/>
      <c r="B164" s="123" t="s">
        <v>420</v>
      </c>
      <c r="C164" s="173">
        <f>SUMIFS('Журнал Работ'!F:F,'Журнал Работ'!E:E,B164,'Журнал Работ'!C:C,$C$2)</f>
        <v>24</v>
      </c>
      <c r="D164" s="195">
        <f>SUMIFS('Журнал Работ'!F:F,'Журнал Работ'!E:E,B164,'Журнал Работ'!C:C,$D$2)</f>
        <v>0</v>
      </c>
      <c r="E164" s="139"/>
      <c r="F164" s="127"/>
      <c r="G164" s="199"/>
      <c r="H164" s="93" t="s">
        <v>285</v>
      </c>
      <c r="I164" s="102"/>
    </row>
    <row r="165" spans="1:9" ht="15.75" x14ac:dyDescent="0.25">
      <c r="A165" s="130"/>
      <c r="B165" s="123" t="s">
        <v>425</v>
      </c>
      <c r="C165" s="174">
        <f>SUMIFS('Журнал Работ'!F:F,'Журнал Работ'!E:E,B165,'Журнал Работ'!C:C,$C$2)</f>
        <v>30</v>
      </c>
      <c r="D165" s="195">
        <f>SUMIFS('Журнал Работ'!F:F,'Журнал Работ'!E:E,B165,'Журнал Работ'!C:C,$D$2)</f>
        <v>0</v>
      </c>
      <c r="E165" s="139"/>
      <c r="F165" s="127"/>
      <c r="G165" s="199"/>
      <c r="H165" s="93"/>
      <c r="I165" s="102"/>
    </row>
    <row r="166" spans="1:9" ht="15.75" x14ac:dyDescent="0.25">
      <c r="A166" s="130"/>
      <c r="B166" s="123" t="s">
        <v>465</v>
      </c>
      <c r="C166" s="189">
        <f>SUMIFS('Журнал Работ'!F:F,'Журнал Работ'!E:E,B166,'Журнал Работ'!C:C,$C$2)</f>
        <v>2</v>
      </c>
      <c r="D166" s="195">
        <f>SUMIFS('Журнал Работ'!F:F,'Журнал Работ'!E:E,B166,'Журнал Работ'!C:C,$D$2)</f>
        <v>0</v>
      </c>
      <c r="E166" s="139"/>
      <c r="F166" s="127"/>
      <c r="G166" s="199"/>
      <c r="H166" s="93"/>
    </row>
    <row r="167" spans="1:9" ht="15.75" x14ac:dyDescent="0.25">
      <c r="A167" s="130"/>
      <c r="B167" s="123" t="s">
        <v>473</v>
      </c>
      <c r="C167" s="192">
        <f>SUMIFS('Журнал Работ'!F:F,'Журнал Работ'!E:E,B167,'Журнал Работ'!C:C,$C$2)</f>
        <v>10</v>
      </c>
      <c r="D167" s="195">
        <f>SUMIFS('Журнал Работ'!F:F,'Журнал Работ'!E:E,B167,'Журнал Работ'!C:C,$D$2)</f>
        <v>0</v>
      </c>
      <c r="E167" s="139"/>
      <c r="F167" s="127"/>
      <c r="G167" s="199"/>
      <c r="H167" s="93"/>
    </row>
    <row r="168" spans="1:9" ht="15.75" x14ac:dyDescent="0.25">
      <c r="A168" s="130"/>
      <c r="B168" s="166" t="s">
        <v>499</v>
      </c>
      <c r="C168" s="211">
        <f>SUMIFS('Журнал Работ'!F:F,'Журнал Работ'!E:E,B168,'Журнал Работ'!C:C,$C$2)</f>
        <v>2</v>
      </c>
      <c r="D168" s="194">
        <f>SUMIFS('Журнал Работ'!F:F,'Журнал Работ'!E:E,B168,'Журнал Работ'!C:C,$D$2)</f>
        <v>0</v>
      </c>
      <c r="E168" s="212"/>
      <c r="F168" s="102">
        <f>E168-Таблица1[[#This Row],[406/1]]</f>
        <v>-2</v>
      </c>
      <c r="G168" s="198">
        <f>E168-Таблица1[[#This Row],[406/2]]</f>
        <v>0</v>
      </c>
      <c r="H168" s="93"/>
    </row>
    <row r="169" spans="1:9" ht="15.75" x14ac:dyDescent="0.25">
      <c r="A169" s="130"/>
      <c r="B169" s="123" t="s">
        <v>500</v>
      </c>
      <c r="C169" s="211">
        <f>SUMIFS('Журнал Работ'!F:F,'Журнал Работ'!E:E,B169,'Журнал Работ'!C:C,$C$2)</f>
        <v>4</v>
      </c>
      <c r="D169" s="194">
        <f>SUMIFS('Журнал Работ'!F:F,'Журнал Работ'!E:E,B169,'Журнал Работ'!C:C,$D$2)</f>
        <v>0</v>
      </c>
      <c r="E169" s="212"/>
      <c r="F169" s="102">
        <f>E169-Таблица1[[#This Row],[406/1]]</f>
        <v>-4</v>
      </c>
      <c r="G169" s="198">
        <f>E169-Таблица1[[#This Row],[406/2]]</f>
        <v>0</v>
      </c>
      <c r="H169" s="93"/>
    </row>
    <row r="170" spans="1:9" ht="15.75" x14ac:dyDescent="0.25">
      <c r="A170" s="130"/>
      <c r="B170" s="123" t="s">
        <v>514</v>
      </c>
      <c r="C170" s="211">
        <f>SUMIFS('Журнал Работ'!F:F,'Журнал Работ'!E:E,B170,'Журнал Работ'!C:C,$C$2)</f>
        <v>1579</v>
      </c>
      <c r="D170" s="194">
        <f>SUMIFS('Журнал Работ'!F:F,'Журнал Работ'!E:E,B170,'Журнал Работ'!C:C,$D$2)</f>
        <v>0</v>
      </c>
      <c r="E170" s="212"/>
      <c r="F170" s="102">
        <f>E170-Таблица1[[#This Row],[406/1]]</f>
        <v>-1579</v>
      </c>
      <c r="G170" s="198">
        <f>E170-Таблица1[[#This Row],[406/2]]</f>
        <v>0</v>
      </c>
      <c r="H170" s="93"/>
    </row>
    <row r="171" spans="1:9" ht="15.75" x14ac:dyDescent="0.25">
      <c r="A171" s="102" t="s">
        <v>297</v>
      </c>
      <c r="B171" s="98" t="s">
        <v>510</v>
      </c>
      <c r="C171" s="216">
        <f>SUMIFS('Журнал Работ'!F:F,'Журнал Работ'!E:E,B171,'Журнал Работ'!C:C,$C$2)</f>
        <v>8</v>
      </c>
      <c r="D171" s="196">
        <f>SUMIFS('Журнал Работ'!F:F,'Журнал Работ'!E:E,B171,'Журнал Работ'!C:C,$D$2)</f>
        <v>0</v>
      </c>
      <c r="E171" s="217">
        <v>8</v>
      </c>
      <c r="F171" s="102">
        <f>E171-Таблица1[[#This Row],[406/1]]</f>
        <v>0</v>
      </c>
      <c r="G171" s="198">
        <f>E171-Таблица1[[#This Row],[406/2]]</f>
        <v>8</v>
      </c>
      <c r="H171" s="93"/>
    </row>
    <row r="172" spans="1:9" ht="15.75" x14ac:dyDescent="0.25">
      <c r="A172" s="102" t="s">
        <v>297</v>
      </c>
      <c r="B172" s="123" t="s">
        <v>511</v>
      </c>
      <c r="C172" s="211">
        <f>SUMIFS('Журнал Работ'!F:F,'Журнал Работ'!E:E,B172,'Журнал Работ'!C:C,$C$2)</f>
        <v>32</v>
      </c>
      <c r="D172" s="195">
        <f>SUMIFS('Журнал Работ'!F:F,'Журнал Работ'!E:E,B172,'Журнал Работ'!C:C,$D$2)</f>
        <v>0</v>
      </c>
      <c r="E172" s="212">
        <v>31</v>
      </c>
      <c r="F172" s="102">
        <f>E172-Таблица1[[#This Row],[406/1]]</f>
        <v>-1</v>
      </c>
      <c r="G172" s="198">
        <f>E172-Таблица1[[#This Row],[406/2]]</f>
        <v>31</v>
      </c>
      <c r="H172" s="93"/>
    </row>
    <row r="173" spans="1:9" ht="15.75" x14ac:dyDescent="0.25">
      <c r="B173" s="98" t="s">
        <v>518</v>
      </c>
      <c r="C173" s="216">
        <f>SUMIFS('Журнал Работ'!F:F,'Журнал Работ'!E:E,B173,'Журнал Работ'!C:C,$C$2)</f>
        <v>57</v>
      </c>
      <c r="D173" s="196">
        <f>SUMIFS('Журнал Работ'!F:F,'Журнал Работ'!E:E,B173,'Журнал Работ'!C:C,$D$2)</f>
        <v>0</v>
      </c>
      <c r="E173" s="217"/>
      <c r="F173" s="220"/>
      <c r="G173" s="198"/>
      <c r="H173" s="93"/>
    </row>
    <row r="174" spans="1:9" ht="15.75" x14ac:dyDescent="0.25">
      <c r="A174" s="130"/>
      <c r="B174" s="123" t="s">
        <v>516</v>
      </c>
      <c r="C174" s="211">
        <f>SUMIFS('Журнал Работ'!F:F,'Журнал Работ'!E:E,B174,'Журнал Работ'!C:C,$C$2)</f>
        <v>193</v>
      </c>
      <c r="D174" s="195">
        <f>SUMIFS('Журнал Работ'!F:F,'Журнал Работ'!E:E,B174,'Журнал Работ'!C:C,$D$2)</f>
        <v>0</v>
      </c>
      <c r="E174" s="212"/>
      <c r="F174" s="210"/>
      <c r="G174" s="199"/>
      <c r="H174" s="93"/>
    </row>
    <row r="175" spans="1:9" ht="15.75" x14ac:dyDescent="0.25">
      <c r="A175" s="130"/>
      <c r="B175" s="123" t="s">
        <v>520</v>
      </c>
      <c r="C175" s="211">
        <f>SUMIFS('Журнал Работ'!F:F,'Журнал Работ'!E:E,B175,'Журнал Работ'!C:C,$C$2)</f>
        <v>8</v>
      </c>
      <c r="D175" s="195">
        <f>SUMIFS('Журнал Работ'!F:F,'Журнал Работ'!E:E,B175,'Журнал Работ'!C:C,$D$2)</f>
        <v>0</v>
      </c>
      <c r="E175" s="212"/>
      <c r="F175" s="210"/>
      <c r="G175" s="199"/>
    </row>
    <row r="176" spans="1:9" ht="15.75" x14ac:dyDescent="0.25">
      <c r="A176" s="130"/>
      <c r="B176" s="123" t="s">
        <v>521</v>
      </c>
      <c r="C176" s="211">
        <f>SUMIFS('Журнал Работ'!F:F,'Журнал Работ'!E:E,B176,'Журнал Работ'!C:C,$C$2)</f>
        <v>1</v>
      </c>
      <c r="D176" s="195">
        <f>SUMIFS('Журнал Работ'!F:F,'Журнал Работ'!E:E,B176,'Журнал Работ'!C:C,$D$2)</f>
        <v>0</v>
      </c>
      <c r="E176" s="212"/>
      <c r="F176" s="210"/>
      <c r="G176" s="199"/>
    </row>
    <row r="177" spans="1:8" ht="15.75" x14ac:dyDescent="0.25">
      <c r="A177" s="130"/>
      <c r="B177" s="123" t="s">
        <v>525</v>
      </c>
      <c r="C177" s="211">
        <f>SUMIFS('Журнал Работ'!F:F,'Журнал Работ'!E:E,B177,'Журнал Работ'!C:C,$C$2)</f>
        <v>0</v>
      </c>
      <c r="D177" s="195">
        <f>SUMIFS('Журнал Работ'!F:F,'Журнал Работ'!E:E,B177,'Журнал Работ'!C:C,$D$2)</f>
        <v>0</v>
      </c>
      <c r="E177" s="212"/>
      <c r="F177" s="210"/>
      <c r="G177" s="199"/>
      <c r="H177" s="93" t="s">
        <v>285</v>
      </c>
    </row>
    <row r="178" spans="1:8" ht="15.75" x14ac:dyDescent="0.25">
      <c r="A178" s="130"/>
      <c r="B178" s="123" t="s">
        <v>530</v>
      </c>
      <c r="C178" s="216">
        <f>SUMIFS('Журнал Работ'!F:F,'Журнал Работ'!E:E,B178,'Журнал Работ'!C:C,$C$2)</f>
        <v>50</v>
      </c>
      <c r="D178" s="196">
        <f>SUMIFS('Журнал Работ'!F:F,'Журнал Работ'!E:E,B178,'Журнал Работ'!C:C,$D$2)</f>
        <v>0</v>
      </c>
      <c r="E178" s="217"/>
      <c r="F178" s="220"/>
      <c r="G178" s="198"/>
    </row>
  </sheetData>
  <sortState xmlns:xlrd2="http://schemas.microsoft.com/office/spreadsheetml/2017/richdata2" ref="B3:B1340">
    <sortCondition ref="B2:B1340"/>
  </sortState>
  <phoneticPr fontId="5" type="noConversion"/>
  <conditionalFormatting sqref="B145:B152 B3:B41 B43:B56 B58:B138 B141:B143">
    <cfRule type="duplicateValues" dxfId="2" priority="35"/>
  </conditionalFormatting>
  <conditionalFormatting sqref="B159">
    <cfRule type="duplicateValues" dxfId="1" priority="3"/>
  </conditionalFormatting>
  <conditionalFormatting sqref="B161">
    <cfRule type="duplicateValues" dxfId="0" priority="2"/>
  </conditionalFormatting>
  <dataValidations count="1">
    <dataValidation type="list" errorStyle="warning" allowBlank="1" showInputMessage="1" showErrorMessage="1" sqref="B160 B154 B164 B139:B140 B42 B57 B167 B173:B174" xr:uid="{30D987EC-74FA-4CFC-AB1F-BFD0CC2E7E84}">
      <formula1>$B:$B</formula1>
    </dataValidation>
  </dataValidations>
  <pageMargins left="0.5" right="0.23622047244094491" top="0.19" bottom="0.35433070866141736" header="0.2" footer="0.31496062992125984"/>
  <pageSetup paperSize="9" scale="53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4832-38F4-48E0-8565-CBBB81DD72C9}">
  <sheetPr>
    <pageSetUpPr fitToPage="1"/>
  </sheetPr>
  <dimension ref="A1:G16"/>
  <sheetViews>
    <sheetView workbookViewId="0">
      <selection activeCell="D12" sqref="D12"/>
    </sheetView>
  </sheetViews>
  <sheetFormatPr defaultRowHeight="15" x14ac:dyDescent="0.25"/>
  <cols>
    <col min="1" max="1" width="20.7109375" bestFit="1" customWidth="1"/>
    <col min="3" max="3" width="9.7109375" bestFit="1" customWidth="1"/>
    <col min="4" max="4" width="10.7109375" bestFit="1" customWidth="1"/>
    <col min="6" max="7" width="15.7109375" customWidth="1"/>
  </cols>
  <sheetData>
    <row r="1" spans="1:7" ht="15.75" thickBot="1" x14ac:dyDescent="0.3">
      <c r="A1" s="1" t="s">
        <v>307</v>
      </c>
      <c r="B1" s="1" t="s">
        <v>148</v>
      </c>
      <c r="C1" s="1"/>
      <c r="D1" s="115">
        <f ca="1">+TODAY()+1</f>
        <v>46196</v>
      </c>
    </row>
    <row r="2" spans="1:7" ht="18.75" x14ac:dyDescent="0.3">
      <c r="A2" s="104" t="s">
        <v>6</v>
      </c>
      <c r="B2" s="105" t="s">
        <v>298</v>
      </c>
      <c r="C2" s="105" t="s">
        <v>299</v>
      </c>
      <c r="D2" s="105" t="s">
        <v>304</v>
      </c>
      <c r="E2" s="105" t="s">
        <v>149</v>
      </c>
      <c r="F2" s="105" t="s">
        <v>300</v>
      </c>
      <c r="G2" s="106" t="s">
        <v>303</v>
      </c>
    </row>
    <row r="3" spans="1:7" ht="15.75" x14ac:dyDescent="0.25">
      <c r="A3" s="107" t="s">
        <v>295</v>
      </c>
      <c r="B3" s="102" t="s">
        <v>301</v>
      </c>
      <c r="C3" s="102">
        <v>30</v>
      </c>
      <c r="D3" s="101">
        <f>SUMIFS('Общий Объём работ'!C:C,'Общий Объём работ'!A:A,A3)</f>
        <v>27</v>
      </c>
      <c r="E3" s="102">
        <f t="shared" ref="E3:E8" si="0">C3-D3</f>
        <v>3</v>
      </c>
      <c r="F3" s="103">
        <f t="shared" ref="F3:F8" si="1">D3/C3</f>
        <v>0.9</v>
      </c>
      <c r="G3" s="108">
        <f t="shared" ref="G3:G8" si="2">E3/C3</f>
        <v>0.1</v>
      </c>
    </row>
    <row r="4" spans="1:7" ht="15.75" x14ac:dyDescent="0.25">
      <c r="A4" s="107" t="s">
        <v>293</v>
      </c>
      <c r="B4" s="102" t="s">
        <v>302</v>
      </c>
      <c r="C4" s="102">
        <v>17129</v>
      </c>
      <c r="D4" s="101">
        <f>SUMIFS('Общий Объём работ'!C:C,'Общий Объём работ'!A:A,A4)</f>
        <v>13535</v>
      </c>
      <c r="E4" s="102">
        <f t="shared" si="0"/>
        <v>3594</v>
      </c>
      <c r="F4" s="103">
        <f t="shared" si="1"/>
        <v>0.79018039581995447</v>
      </c>
      <c r="G4" s="108">
        <f t="shared" si="2"/>
        <v>0.20981960418004553</v>
      </c>
    </row>
    <row r="5" spans="1:7" ht="15.75" x14ac:dyDescent="0.25">
      <c r="A5" s="107" t="s">
        <v>292</v>
      </c>
      <c r="B5" s="102" t="s">
        <v>302</v>
      </c>
      <c r="C5" s="102">
        <v>1494</v>
      </c>
      <c r="D5" s="101">
        <f>SUMIFS('Общий Объём работ'!C:C,'Общий Объём работ'!A:A,A5)</f>
        <v>1557.1999999999998</v>
      </c>
      <c r="E5" s="102">
        <f t="shared" si="0"/>
        <v>-63.199999999999818</v>
      </c>
      <c r="F5" s="103">
        <f t="shared" si="1"/>
        <v>1.0423025435073627</v>
      </c>
      <c r="G5" s="108">
        <f t="shared" si="2"/>
        <v>-4.2302543507362664E-2</v>
      </c>
    </row>
    <row r="6" spans="1:7" ht="15.75" x14ac:dyDescent="0.25">
      <c r="A6" s="107" t="s">
        <v>291</v>
      </c>
      <c r="B6" s="102" t="s">
        <v>301</v>
      </c>
      <c r="C6" s="102">
        <v>315</v>
      </c>
      <c r="D6" s="101">
        <f>SUMIFS('Общий Объём работ'!C:C,'Общий Объём работ'!A:A,A6)</f>
        <v>274</v>
      </c>
      <c r="E6" s="102">
        <f t="shared" si="0"/>
        <v>41</v>
      </c>
      <c r="F6" s="103">
        <f t="shared" si="1"/>
        <v>0.86984126984126986</v>
      </c>
      <c r="G6" s="108">
        <f t="shared" si="2"/>
        <v>0.13015873015873017</v>
      </c>
    </row>
    <row r="7" spans="1:7" ht="15.75" x14ac:dyDescent="0.25">
      <c r="A7" s="107" t="s">
        <v>294</v>
      </c>
      <c r="B7" s="102" t="s">
        <v>302</v>
      </c>
      <c r="C7" s="102">
        <v>2558</v>
      </c>
      <c r="D7" s="101">
        <f>SUMIFS('Общий Объём работ'!C:C,'Общий Объём работ'!A:A,A7)</f>
        <v>2585</v>
      </c>
      <c r="E7" s="102">
        <f t="shared" si="0"/>
        <v>-27</v>
      </c>
      <c r="F7" s="103">
        <f t="shared" si="1"/>
        <v>1.0105551211884285</v>
      </c>
      <c r="G7" s="108">
        <f t="shared" si="2"/>
        <v>-1.0555121188428459E-2</v>
      </c>
    </row>
    <row r="8" spans="1:7" ht="16.5" thickBot="1" x14ac:dyDescent="0.3">
      <c r="A8" s="109" t="s">
        <v>297</v>
      </c>
      <c r="B8" s="110" t="s">
        <v>301</v>
      </c>
      <c r="C8" s="110">
        <f>8+31+5+63+16+52</f>
        <v>175</v>
      </c>
      <c r="D8" s="111">
        <f>SUMIFS('Общий Объём работ'!C:C,'Общий Объём работ'!A:A,A8)</f>
        <v>204</v>
      </c>
      <c r="E8" s="110">
        <f t="shared" si="0"/>
        <v>-29</v>
      </c>
      <c r="F8" s="118">
        <f t="shared" si="1"/>
        <v>1.1657142857142857</v>
      </c>
      <c r="G8" s="112">
        <f t="shared" si="2"/>
        <v>-0.1657142857142857</v>
      </c>
    </row>
    <row r="9" spans="1:7" ht="15.75" thickBot="1" x14ac:dyDescent="0.3"/>
    <row r="10" spans="1:7" ht="18.75" x14ac:dyDescent="0.3">
      <c r="A10" s="104" t="s">
        <v>13</v>
      </c>
      <c r="B10" s="105" t="s">
        <v>298</v>
      </c>
      <c r="C10" s="105" t="s">
        <v>299</v>
      </c>
      <c r="D10" s="105" t="s">
        <v>304</v>
      </c>
      <c r="E10" s="105" t="s">
        <v>149</v>
      </c>
      <c r="F10" s="105" t="s">
        <v>300</v>
      </c>
      <c r="G10" s="106" t="s">
        <v>303</v>
      </c>
    </row>
    <row r="11" spans="1:7" ht="15.75" x14ac:dyDescent="0.25">
      <c r="A11" s="107" t="s">
        <v>295</v>
      </c>
      <c r="B11" s="102" t="s">
        <v>301</v>
      </c>
      <c r="C11" s="102">
        <v>30</v>
      </c>
      <c r="D11" s="101">
        <f>SUMIFS('Общий Объём работ'!D:D,'Общий Объём работ'!A:A,A11)</f>
        <v>16</v>
      </c>
      <c r="E11" s="102">
        <f t="shared" ref="E11:E16" si="3">C11-D11</f>
        <v>14</v>
      </c>
      <c r="F11" s="103">
        <f t="shared" ref="F11:F16" si="4">D11/C11</f>
        <v>0.53333333333333333</v>
      </c>
      <c r="G11" s="108">
        <f t="shared" ref="G11:G16" si="5">E11/C11</f>
        <v>0.46666666666666667</v>
      </c>
    </row>
    <row r="12" spans="1:7" ht="15.75" x14ac:dyDescent="0.25">
      <c r="A12" s="107" t="s">
        <v>293</v>
      </c>
      <c r="B12" s="102" t="s">
        <v>302</v>
      </c>
      <c r="C12" s="102">
        <v>17129</v>
      </c>
      <c r="D12" s="101">
        <f>SUMIFS('Общий Объём работ'!D:D,'Общий Объём работ'!A:A,A12)</f>
        <v>2586.5</v>
      </c>
      <c r="E12" s="102">
        <f t="shared" si="3"/>
        <v>14542.5</v>
      </c>
      <c r="F12" s="103">
        <f t="shared" si="4"/>
        <v>0.1510012259910094</v>
      </c>
      <c r="G12" s="108">
        <f t="shared" si="5"/>
        <v>0.8489987740089906</v>
      </c>
    </row>
    <row r="13" spans="1:7" ht="15.75" x14ac:dyDescent="0.25">
      <c r="A13" s="107" t="s">
        <v>292</v>
      </c>
      <c r="B13" s="102" t="s">
        <v>302</v>
      </c>
      <c r="C13" s="102">
        <v>1494</v>
      </c>
      <c r="D13" s="101">
        <f>SUMIFS('Общий Объём работ'!D:D,'Общий Объём работ'!A:A,A13)</f>
        <v>1025.7</v>
      </c>
      <c r="E13" s="102">
        <f t="shared" si="3"/>
        <v>468.29999999999995</v>
      </c>
      <c r="F13" s="103">
        <f t="shared" si="4"/>
        <v>0.6865461847389559</v>
      </c>
      <c r="G13" s="108">
        <f t="shared" si="5"/>
        <v>0.31345381526104416</v>
      </c>
    </row>
    <row r="14" spans="1:7" ht="15.75" x14ac:dyDescent="0.25">
      <c r="A14" s="107" t="s">
        <v>291</v>
      </c>
      <c r="B14" s="102" t="s">
        <v>301</v>
      </c>
      <c r="C14" s="102">
        <v>315</v>
      </c>
      <c r="D14" s="101">
        <f>SUMIFS('Общий Объём работ'!D:D,'Общий Объём работ'!A:A,A14)</f>
        <v>192</v>
      </c>
      <c r="E14" s="102">
        <f t="shared" si="3"/>
        <v>123</v>
      </c>
      <c r="F14" s="103">
        <f t="shared" si="4"/>
        <v>0.60952380952380958</v>
      </c>
      <c r="G14" s="108">
        <f t="shared" si="5"/>
        <v>0.39047619047619048</v>
      </c>
    </row>
    <row r="15" spans="1:7" ht="15.75" x14ac:dyDescent="0.25">
      <c r="A15" s="107" t="s">
        <v>294</v>
      </c>
      <c r="B15" s="102" t="s">
        <v>302</v>
      </c>
      <c r="C15" s="102">
        <v>2558</v>
      </c>
      <c r="D15" s="101">
        <f>SUMIFS('Общий Объём работ'!D:D,'Общий Объём работ'!A:A,A15)</f>
        <v>1174</v>
      </c>
      <c r="E15" s="102">
        <f t="shared" si="3"/>
        <v>1384</v>
      </c>
      <c r="F15" s="103">
        <f t="shared" si="4"/>
        <v>0.45895230648944491</v>
      </c>
      <c r="G15" s="108">
        <f t="shared" si="5"/>
        <v>0.54104769351055515</v>
      </c>
    </row>
    <row r="16" spans="1:7" ht="16.5" thickBot="1" x14ac:dyDescent="0.3">
      <c r="A16" s="109" t="s">
        <v>297</v>
      </c>
      <c r="B16" s="110" t="s">
        <v>301</v>
      </c>
      <c r="C16" s="110">
        <f>8+31+5+63+16+52</f>
        <v>175</v>
      </c>
      <c r="D16" s="111">
        <f>SUMIFS('Общий Объём работ'!D:D,'Общий Объём работ'!A:A,A16)</f>
        <v>0</v>
      </c>
      <c r="E16" s="110">
        <f t="shared" si="3"/>
        <v>175</v>
      </c>
      <c r="F16" s="118">
        <f t="shared" si="4"/>
        <v>0</v>
      </c>
      <c r="G16" s="112">
        <f t="shared" si="5"/>
        <v>1</v>
      </c>
    </row>
  </sheetData>
  <phoneticPr fontId="5" type="noConversion"/>
  <conditionalFormatting sqref="F3:F8">
    <cfRule type="dataBar" priority="4">
      <dataBar>
        <cfvo type="percent" val="0"/>
        <cfvo type="percent" val="100"/>
        <color rgb="FFFFB628"/>
      </dataBar>
      <extLst>
        <ext xmlns:x14="http://schemas.microsoft.com/office/spreadsheetml/2009/9/main" uri="{B025F937-C7B1-47D3-B67F-A62EFF666E3E}">
          <x14:id>{281AC0D0-C4F9-4186-A360-21654487F64E}</x14:id>
        </ext>
      </extLst>
    </cfRule>
  </conditionalFormatting>
  <conditionalFormatting sqref="F11:F16">
    <cfRule type="dataBar" priority="2">
      <dataBar>
        <cfvo type="percent" val="0"/>
        <cfvo type="percent" val="100"/>
        <color rgb="FFFFB628"/>
      </dataBar>
      <extLst>
        <ext xmlns:x14="http://schemas.microsoft.com/office/spreadsheetml/2009/9/main" uri="{B025F937-C7B1-47D3-B67F-A62EFF666E3E}">
          <x14:id>{0962FEB5-72CC-4812-9FCE-E4CDDC3111AD}</x14:id>
        </ext>
      </extLst>
    </cfRule>
  </conditionalFormatting>
  <conditionalFormatting sqref="F3:G8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{2BB25AB8-DD9D-4871-8D7C-F5A0C584BC46}</x14:id>
        </ext>
      </extLst>
    </cfRule>
  </conditionalFormatting>
  <conditionalFormatting sqref="F11:G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{A1EBB454-435E-4DDE-92A4-CC3A981F98AF}</x14:id>
        </ext>
      </extLst>
    </cfRule>
  </conditionalFormatting>
  <pageMargins left="1.34" right="0.7" top="0.68" bottom="0.33" header="0.63" footer="0.3"/>
  <pageSetup paperSize="9" fitToWidth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1AC0D0-C4F9-4186-A360-21654487F64E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F3:F8</xm:sqref>
        </x14:conditionalFormatting>
        <x14:conditionalFormatting xmlns:xm="http://schemas.microsoft.com/office/excel/2006/main">
          <x14:cfRule type="dataBar" id="{0962FEB5-72CC-4812-9FCE-E4CDDC3111AD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F11:F16</xm:sqref>
        </x14:conditionalFormatting>
        <x14:conditionalFormatting xmlns:xm="http://schemas.microsoft.com/office/excel/2006/main">
          <x14:cfRule type="dataBar" id="{2BB25AB8-DD9D-4871-8D7C-F5A0C584BC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F3:G8</xm:sqref>
        </x14:conditionalFormatting>
        <x14:conditionalFormatting xmlns:xm="http://schemas.microsoft.com/office/excel/2006/main">
          <x14:cfRule type="dataBar" id="{A1EBB454-435E-4DDE-92A4-CC3A981F98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F11:G16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26860-82B2-4003-B675-DE59A04B0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Журнал Работ</vt:lpstr>
      <vt:lpstr>Общий Объём работ</vt:lpstr>
      <vt:lpstr>Карткий отчет</vt:lpstr>
      <vt:lpstr>'Общий Объём работ'!Область_печати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Хабибуллин Лучший</dc:creator>
  <cp:lastModifiedBy>user</cp:lastModifiedBy>
  <cp:lastPrinted>2026-06-16T07:03:21Z</cp:lastPrinted>
  <dcterms:created xsi:type="dcterms:W3CDTF">2015-06-05T18:19:34Z</dcterms:created>
  <dcterms:modified xsi:type="dcterms:W3CDTF">2026-06-22T10:20:39Z</dcterms:modified>
</cp:coreProperties>
</file>